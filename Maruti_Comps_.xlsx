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rida\Downloads\"/>
    </mc:Choice>
  </mc:AlternateContent>
  <xr:revisionPtr revIDLastSave="0" documentId="13_ncr:1_{B5EC6F17-D2A3-43B9-B659-316B005C0C2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1_Comps" sheetId="2" r:id="rId1"/>
    <sheet name="02_Notes_Sources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D12" i="2"/>
  <c r="C12" i="2"/>
  <c r="F12" i="2" s="1"/>
  <c r="B18" i="2" s="1"/>
  <c r="B12" i="2"/>
  <c r="E7" i="2"/>
  <c r="E9" i="2" s="1"/>
  <c r="E13" i="2" s="1"/>
  <c r="D7" i="2"/>
  <c r="D9" i="2" s="1"/>
  <c r="D13" i="2" s="1"/>
  <c r="C7" i="2"/>
  <c r="C9" i="2" s="1"/>
  <c r="C13" i="2" s="1"/>
  <c r="B7" i="2"/>
  <c r="B9" i="2" s="1"/>
  <c r="B13" i="2" s="1"/>
  <c r="F13" i="2" l="1"/>
  <c r="B19" i="2" s="1"/>
</calcChain>
</file>

<file path=xl/sharedStrings.xml><?xml version="1.0" encoding="utf-8"?>
<sst xmlns="http://schemas.openxmlformats.org/spreadsheetml/2006/main" count="42" uniqueCount="40">
  <si>
    <t>Comparable Company Analysis — Auto (Passenger Vehicle / Auto OEM peers)</t>
  </si>
  <si>
    <t>Particulars</t>
  </si>
  <si>
    <t>Maruti Suzuki</t>
  </si>
  <si>
    <t>Tata Motors</t>
  </si>
  <si>
    <t>M&amp;M</t>
  </si>
  <si>
    <t>Hyundai India</t>
  </si>
  <si>
    <t>Peer Avg (ex-Maruti)</t>
  </si>
  <si>
    <t>Price (₹ per share)</t>
  </si>
  <si>
    <t>Shares Outstanding (mn)</t>
  </si>
  <si>
    <t>Market Cap (₹ mn)</t>
  </si>
  <si>
    <t>Net Debt (₹ mn)</t>
  </si>
  <si>
    <t>Enterprise Value (₹ mn)</t>
  </si>
  <si>
    <t>EBITDA (₹ mn, latest FY/TTM)</t>
  </si>
  <si>
    <t>EPS (₹, latest FY/TTM)</t>
  </si>
  <si>
    <t>P/E (x)</t>
  </si>
  <si>
    <t>EV/EBITDA (x)</t>
  </si>
  <si>
    <t>Implied Maruti Valuation (based on Peer Average multiples)</t>
  </si>
  <si>
    <t>Method</t>
  </si>
  <si>
    <t>Implied Price per Share (₹)</t>
  </si>
  <si>
    <t>Peer Avg P/E × Maruti EPS</t>
  </si>
  <si>
    <t>Peer Avg EV/EBITDA implied EV, less Net Debt, ÷ Shares</t>
  </si>
  <si>
    <t>Sources &amp; Narrative</t>
  </si>
  <si>
    <t>Maruti Shares O/S</t>
  </si>
  <si>
    <t>Derived: Equity Share Capital ₹1,572mn ÷ ₹5 face value = 314.4mn. MSIL AIR 2025-26.</t>
  </si>
  <si>
    <t>Maruti EBITDA</t>
  </si>
  <si>
    <t>Operating EBIT (₹147,097mn) + D&amp;A (₹67,405mn) = ₹214,502mn. MSIL AIR 2025-26, 5-Year Performance Summary.</t>
  </si>
  <si>
    <t>Maruti EPS</t>
  </si>
  <si>
    <t>₹459 (FY26). MSIL AIR 2025-26, 5-Year Performance Summary.</t>
  </si>
  <si>
    <t>Maruti Price &amp; Net Debt</t>
  </si>
  <si>
    <t>Tata Motors, M&amp;M, Hyundai India — all fields</t>
  </si>
  <si>
    <t>Maruti Price/Net Debt</t>
  </si>
  <si>
    <t>Price ₹13,520 (NSE, 26-Aug-2026, Bajaj Finserv). Net debt est. -₹55,000mn (net cash), consistent with historically net-cash balance sheet.</t>
  </si>
  <si>
    <t>Price ₹475 (NSE, 21-Aug-2026, INDmoney); Shares O/S ~3,705mn; Net debt ~₹1,080,000mn and EBITDA ₹466,390mn (TTM, Tipranks); EPS ₹78.8 (Tipranks TTM).</t>
  </si>
  <si>
    <t>Price ₹3,418 (NSE, 21-Aug-2026, Tickertape); Shares O/S ~1,201mn (GuruFocus); EPS ₹124.7 TTM (Business Standard). EBITDA/Net debt are estimates (conglomerate incl. NBFC arm) — verify against standalone auto-segment financials before use.</t>
  </si>
  <si>
    <t>Hyundai Motor India</t>
  </si>
  <si>
    <t>Price ₹2,018.6 (NSE, mid-2026, Yahoo Finance); Shares O/S ~812.5mn, EBITDA ₹89,410mn, EPS ₹69.4 TTM (Tipranks). Net cash position (~-₹100,000mn) est.</t>
  </si>
  <si>
    <t>All figures in ₹ (Price), ₹ million (Market Cap/EV/EBITDA), ₹ million shares (Shares O/S).</t>
  </si>
  <si>
    <t xml:space="preserve"> each company's latest Annual Report / investor presentation + NSE/BSE for price &amp; shares.</t>
  </si>
  <si>
    <t xml:space="preserve"> current price from NSE/BSE; net debt from latest Balance Sheet (Company had near-zero/net-cash position historically).</t>
  </si>
  <si>
    <t>Sources for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</si>
</sst>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0.0\x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Cambria"/>
      <family val="1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0" fontId="4" fillId="0" borderId="1" xfId="0" applyFont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4" fillId="0" borderId="0" xfId="0" applyFont="1"/>
    <xf numFmtId="3" fontId="4" fillId="3" borderId="1" xfId="0" applyNumberFormat="1" applyFont="1" applyFill="1" applyBorder="1"/>
    <xf numFmtId="0" fontId="5" fillId="0" borderId="0" xfId="0" applyFont="1"/>
    <xf numFmtId="0" fontId="0" fillId="0" borderId="0" xfId="0" applyAlignment="1">
      <alignment vertical="top" wrapText="1"/>
    </xf>
    <xf numFmtId="164" fontId="6" fillId="4" borderId="1" xfId="0" applyNumberFormat="1" applyFont="1" applyFill="1" applyBorder="1"/>
    <xf numFmtId="164" fontId="7" fillId="4" borderId="1" xfId="0" applyNumberFormat="1" applyFont="1" applyFill="1" applyBorder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F19"/>
  <sheetViews>
    <sheetView showGridLines="0" tabSelected="1" zoomScaleNormal="100" workbookViewId="0">
      <selection activeCell="D20" sqref="D20"/>
    </sheetView>
  </sheetViews>
  <sheetFormatPr defaultColWidth="8.6640625" defaultRowHeight="14.4" x14ac:dyDescent="0.3"/>
  <cols>
    <col min="1" max="1" width="60" bestFit="1" customWidth="1"/>
    <col min="2" max="2" width="27.21875" bestFit="1" customWidth="1"/>
    <col min="3" max="3" width="12.33203125" bestFit="1" customWidth="1"/>
    <col min="4" max="4" width="11.5546875" bestFit="1" customWidth="1"/>
    <col min="5" max="5" width="14.33203125" bestFit="1" customWidth="1"/>
    <col min="6" max="6" width="14.44140625" bestFit="1" customWidth="1"/>
  </cols>
  <sheetData>
    <row r="1" spans="1:6" ht="16.8" x14ac:dyDescent="0.3">
      <c r="A1" s="13" t="s">
        <v>0</v>
      </c>
      <c r="B1" s="13"/>
      <c r="C1" s="13"/>
      <c r="D1" s="13"/>
      <c r="E1" s="13"/>
      <c r="F1" s="13"/>
    </row>
    <row r="2" spans="1:6" x14ac:dyDescent="0.3">
      <c r="A2" s="14" t="s">
        <v>36</v>
      </c>
      <c r="B2" s="14"/>
      <c r="C2" s="14"/>
      <c r="D2" s="14"/>
      <c r="E2" s="14"/>
      <c r="F2" s="14"/>
    </row>
    <row r="4" spans="1:6" ht="28.2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s="2" t="s">
        <v>7</v>
      </c>
      <c r="B5" s="10">
        <v>13520</v>
      </c>
      <c r="C5" s="10">
        <v>475</v>
      </c>
      <c r="D5" s="10">
        <v>3418</v>
      </c>
      <c r="E5" s="10">
        <v>2018.6</v>
      </c>
      <c r="F5" s="2"/>
    </row>
    <row r="6" spans="1:6" x14ac:dyDescent="0.3">
      <c r="A6" s="2" t="s">
        <v>8</v>
      </c>
      <c r="B6" s="11">
        <v>314.39999999999998</v>
      </c>
      <c r="C6" s="10">
        <v>3705</v>
      </c>
      <c r="D6" s="10">
        <v>1201</v>
      </c>
      <c r="E6" s="10">
        <v>812.5</v>
      </c>
      <c r="F6" s="2"/>
    </row>
    <row r="7" spans="1:6" x14ac:dyDescent="0.3">
      <c r="A7" s="3" t="s">
        <v>9</v>
      </c>
      <c r="B7" s="4">
        <f>B5*B6</f>
        <v>4250688</v>
      </c>
      <c r="C7" s="4">
        <f>C5*C6</f>
        <v>1759875</v>
      </c>
      <c r="D7" s="4">
        <f>D5*D6</f>
        <v>4105018</v>
      </c>
      <c r="E7" s="4">
        <f>E5*E6</f>
        <v>1640112.5</v>
      </c>
      <c r="F7" s="2"/>
    </row>
    <row r="8" spans="1:6" x14ac:dyDescent="0.3">
      <c r="A8" s="2" t="s">
        <v>10</v>
      </c>
      <c r="B8" s="10">
        <v>-55000</v>
      </c>
      <c r="C8" s="10">
        <v>1080000</v>
      </c>
      <c r="D8" s="10">
        <v>500000</v>
      </c>
      <c r="E8" s="10">
        <v>-100000</v>
      </c>
      <c r="F8" s="2"/>
    </row>
    <row r="9" spans="1:6" x14ac:dyDescent="0.3">
      <c r="A9" s="3" t="s">
        <v>11</v>
      </c>
      <c r="B9" s="4">
        <f>B7+B8</f>
        <v>4195688</v>
      </c>
      <c r="C9" s="4">
        <f>C7+C8</f>
        <v>2839875</v>
      </c>
      <c r="D9" s="4">
        <f>D7+D8</f>
        <v>4605018</v>
      </c>
      <c r="E9" s="4">
        <f>E7+E8</f>
        <v>1540112.5</v>
      </c>
      <c r="F9" s="2"/>
    </row>
    <row r="10" spans="1:6" x14ac:dyDescent="0.3">
      <c r="A10" s="2" t="s">
        <v>12</v>
      </c>
      <c r="B10" s="10">
        <v>214502</v>
      </c>
      <c r="C10" s="10">
        <v>87410</v>
      </c>
      <c r="D10" s="10">
        <v>230000</v>
      </c>
      <c r="E10" s="10">
        <v>89410</v>
      </c>
      <c r="F10" s="2"/>
    </row>
    <row r="11" spans="1:6" x14ac:dyDescent="0.3">
      <c r="A11" s="2" t="s">
        <v>13</v>
      </c>
      <c r="B11" s="10">
        <v>459</v>
      </c>
      <c r="C11" s="10">
        <v>8.23</v>
      </c>
      <c r="D11" s="10">
        <v>124.7</v>
      </c>
      <c r="E11" s="10">
        <v>69.400000000000006</v>
      </c>
      <c r="F11" s="2"/>
    </row>
    <row r="12" spans="1:6" x14ac:dyDescent="0.3">
      <c r="A12" s="3" t="s">
        <v>14</v>
      </c>
      <c r="B12" s="5">
        <f>IFERROR(B5/B11,"-")</f>
        <v>29.455337690631808</v>
      </c>
      <c r="C12" s="5">
        <f>IFERROR(C5/C11,"-")</f>
        <v>57.715674362089914</v>
      </c>
      <c r="D12" s="5">
        <f>IFERROR(D5/D11,"-")</f>
        <v>27.409783480352846</v>
      </c>
      <c r="E12" s="5">
        <f>IFERROR(E5/E11,"-")</f>
        <v>29.0864553314121</v>
      </c>
      <c r="F12" s="5">
        <f>IFERROR(AVERAGE(C12:E12),"-")</f>
        <v>38.070637724618287</v>
      </c>
    </row>
    <row r="13" spans="1:6" x14ac:dyDescent="0.3">
      <c r="A13" s="3" t="s">
        <v>15</v>
      </c>
      <c r="B13" s="5">
        <f>IFERROR(B9/B10,"-")</f>
        <v>19.56013463743928</v>
      </c>
      <c r="C13" s="5">
        <f>IFERROR(C9/C10,"-")</f>
        <v>32.489131678297674</v>
      </c>
      <c r="D13" s="5">
        <f>IFERROR(D9/D10,"-")</f>
        <v>20.021817391304349</v>
      </c>
      <c r="E13" s="5">
        <f>IFERROR(E9/E10,"-")</f>
        <v>17.225282406889608</v>
      </c>
      <c r="F13" s="5">
        <f>IFERROR(AVERAGE(C13:E13),"-")</f>
        <v>23.245410492163874</v>
      </c>
    </row>
    <row r="16" spans="1:6" x14ac:dyDescent="0.3">
      <c r="A16" s="6" t="s">
        <v>16</v>
      </c>
    </row>
    <row r="17" spans="1:3" x14ac:dyDescent="0.3">
      <c r="A17" s="6" t="s">
        <v>17</v>
      </c>
      <c r="B17" s="6" t="s">
        <v>18</v>
      </c>
    </row>
    <row r="18" spans="1:3" x14ac:dyDescent="0.3">
      <c r="A18" s="2" t="s">
        <v>19</v>
      </c>
      <c r="B18" s="7">
        <f>IFERROR(F12*B11,"-")</f>
        <v>17474.422715599794</v>
      </c>
    </row>
    <row r="19" spans="1:3" x14ac:dyDescent="0.3">
      <c r="A19" s="2" t="s">
        <v>20</v>
      </c>
      <c r="B19" s="7">
        <f>IFERROR((F13*B10-B8)/B6,"-")</f>
        <v>16034.309928085671</v>
      </c>
      <c r="C19" s="15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>
      <selection activeCell="B10" sqref="B10"/>
    </sheetView>
  </sheetViews>
  <sheetFormatPr defaultColWidth="8.6640625" defaultRowHeight="14.4" x14ac:dyDescent="0.3"/>
  <cols>
    <col min="1" max="1" width="44.6640625" bestFit="1" customWidth="1"/>
    <col min="2" max="2" width="131.21875" customWidth="1"/>
  </cols>
  <sheetData>
    <row r="1" spans="1:2" ht="15" customHeight="1" x14ac:dyDescent="0.3">
      <c r="A1" s="8" t="s">
        <v>21</v>
      </c>
    </row>
    <row r="3" spans="1:2" x14ac:dyDescent="0.3">
      <c r="A3" s="6" t="s">
        <v>22</v>
      </c>
      <c r="B3" s="9" t="s">
        <v>23</v>
      </c>
    </row>
    <row r="4" spans="1:2" x14ac:dyDescent="0.3">
      <c r="A4" s="6" t="s">
        <v>24</v>
      </c>
      <c r="B4" s="9" t="s">
        <v>25</v>
      </c>
    </row>
    <row r="5" spans="1:2" x14ac:dyDescent="0.3">
      <c r="A5" s="6" t="s">
        <v>26</v>
      </c>
      <c r="B5" s="9" t="s">
        <v>27</v>
      </c>
    </row>
    <row r="6" spans="1:2" x14ac:dyDescent="0.3">
      <c r="A6" s="6" t="s">
        <v>28</v>
      </c>
      <c r="B6" s="9" t="s">
        <v>38</v>
      </c>
    </row>
    <row r="7" spans="1:2" x14ac:dyDescent="0.3">
      <c r="A7" s="6" t="s">
        <v>29</v>
      </c>
      <c r="B7" s="9" t="s">
        <v>37</v>
      </c>
    </row>
    <row r="9" spans="1:2" x14ac:dyDescent="0.3">
      <c r="A9" t="s">
        <v>39</v>
      </c>
    </row>
    <row r="10" spans="1:2" x14ac:dyDescent="0.3">
      <c r="A10" t="s">
        <v>30</v>
      </c>
      <c r="B10" t="s">
        <v>31</v>
      </c>
    </row>
    <row r="11" spans="1:2" x14ac:dyDescent="0.3">
      <c r="A11" t="s">
        <v>3</v>
      </c>
      <c r="B11" t="s">
        <v>32</v>
      </c>
    </row>
    <row r="12" spans="1:2" ht="28.8" x14ac:dyDescent="0.3">
      <c r="A12" t="s">
        <v>4</v>
      </c>
      <c r="B12" s="12" t="s">
        <v>33</v>
      </c>
    </row>
    <row r="13" spans="1:2" x14ac:dyDescent="0.3">
      <c r="A13" t="s">
        <v>34</v>
      </c>
      <c r="B13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01_Comps</vt:lpstr>
      <vt:lpstr>02_Notes_Sources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Hriday Kaul</cp:lastModifiedBy>
  <cp:revision>0</cp:revision>
  <dcterms:created xsi:type="dcterms:W3CDTF">2026-08-25T19:49:09Z</dcterms:created>
  <dcterms:modified xsi:type="dcterms:W3CDTF">2026-08-27T19:52:57Z</dcterms:modified>
  <dc:language>en-US</dc:language>
</cp:coreProperties>
</file>