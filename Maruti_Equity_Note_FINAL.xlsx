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Historical_Financials" sheetId="2" state="visible" r:id="rId4"/>
    <sheet name="02_Volume_ASP" sheetId="3" state="visible" r:id="rId5"/>
    <sheet name="02_Margin_Waterfall" sheetId="4" state="visible" r:id="rId6"/>
    <sheet name="02_Notes_Sources" sheetId="5" state="visible" r:id="rId7"/>
    <sheet name="03_Comps" sheetId="6" state="visible" r:id="rId8"/>
    <sheet name="03_Comps_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Source: 'Volumes (Nos.)' row, Abridged Profit &amp; Loss Account, each year's Annual Integrated Report.</t>
        </r>
      </text>
    </comment>
    <comment ref="A9" authorId="0">
      <text>
        <r>
          <rPr>
            <sz val="10"/>
            <rFont val="Arial"/>
            <family val="2"/>
          </rPr>
          <t xml:space="preserve">Link this row to your Stage 2 '03_Revenue_Profitability' or historicals tab if you'd rather pull automatically, e.g. ='02_Historicals'!C5</t>
        </r>
      </text>
    </comment>
    <comment ref="A11" authorId="0">
      <text>
        <r>
          <rPr>
            <sz val="10"/>
            <rFont val="Arial"/>
            <family val="2"/>
          </rPr>
          <t xml:space="preserve">ASP = Revenue from operations / Total vehicles sold. Rising ASP can mean price hikes OR a mix shift toward higher-priced models (SUVs) -- check both before concluding.</t>
        </r>
      </text>
    </comment>
    <comment ref="C9" authorId="0">
      <text>
        <r>
          <rPr>
            <sz val="10"/>
            <rFont val="Arial"/>
            <family val="2"/>
          </rPr>
          <t xml:space="preserve">Sourced from Maruti FY2022-23 Annual Report, prior-year comparison column (same figure used in Stage 2).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Sourced. FY22 from Maruti FY2022-23 Annual Report (matches Stage 2 and 01_Volume_ASP tab).</t>
        </r>
      </text>
    </comment>
    <comment ref="A6" authorId="0">
      <text>
        <r>
          <rPr>
            <sz val="10"/>
            <rFont val="Arial"/>
            <family val="2"/>
          </rPr>
          <t xml:space="preserve">Sourced from P&amp;L. FY22 = 17,935 (per Stage 2).</t>
        </r>
      </text>
    </comment>
    <comment ref="A11" authorId="0">
      <text>
        <r>
          <rPr>
            <sz val="10"/>
            <rFont val="Arial"/>
            <family val="2"/>
          </rPr>
          <t xml:space="preserve">Fully sourced across FY22-FY26 per your Stage 2 review: 263,905 / 399,772 / 551,099 / 213,927 / 231,741. Known to swing sharply -- flagged as an open MD&amp;A question.</t>
        </r>
      </text>
    </comment>
    <comment ref="A23" authorId="0">
      <text>
        <r>
          <rPr>
            <sz val="10"/>
            <rFont val="Arial"/>
            <family val="2"/>
          </rPr>
          <t xml:space="preserve">Cross-check: PBT should also equal Total income (row 7) minus Total expenses. If it doesn't match your Stage 2 PBT figure, one of the input lines above is missing or mis-sourced.</t>
        </r>
      </text>
    </comment>
  </commentList>
</comments>
</file>

<file path=xl/sharedStrings.xml><?xml version="1.0" encoding="utf-8"?>
<sst xmlns="http://schemas.openxmlformats.org/spreadsheetml/2006/main" count="162" uniqueCount="124">
  <si>
    <t xml:space="preserve">Maruti Suzuki (NSE: MARUTI) — Mini Equity Note</t>
  </si>
  <si>
    <t xml:space="preserve">Independent equity research &amp; analysis — B.Com (Hons.) student project, SRCC</t>
  </si>
  <si>
    <t xml:space="preserve">Contents:</t>
  </si>
  <si>
    <t xml:space="preserve">• 01_Historical_Financials — 5-year standalone P&amp;L (FY22-FY26)</t>
  </si>
  <si>
    <t xml:space="preserve">• 02_Volume_ASP — vehicle volumes and average selling price trend</t>
  </si>
  <si>
    <t xml:space="preserve">• 02_Margin_Waterfall — revenue-to-PAT bridge with margin %</t>
  </si>
  <si>
    <t xml:space="preserve">• 02_Notes_Sources — Stage 3 sourcing log and narrative</t>
  </si>
  <si>
    <t xml:space="preserve">• 03_Comps — comparable company analysis vs Tata Motors, M&amp;M, Hyundai India</t>
  </si>
  <si>
    <t xml:space="preserve">• 03_Comps_Notes — comps sourcing log</t>
  </si>
  <si>
    <t xml:space="preserve">• See separate investment_thesis.docx for the written thesis.</t>
  </si>
  <si>
    <t xml:space="preserve">Maruti Suzuki India Ltd — Standalone Historical Financials (₹ million)</t>
  </si>
  <si>
    <t xml:space="preserve">All 5 years sourced directly from MSIL Annual Integrated Reports (FY22-23, FY23-24, FY24-25, FY25-26).</t>
  </si>
  <si>
    <t xml:space="preserve">Legend:</t>
  </si>
  <si>
    <t xml:space="preserve">Blue = sourced from annual report</t>
  </si>
  <si>
    <t xml:space="preserve">Black bold = formula</t>
  </si>
  <si>
    <t xml:space="preserve">Particulars (₹ million)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</si>
  <si>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</si>
  <si>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</si>
  <si>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</si>
  <si>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</si>
  <si>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</si>
  <si>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5-yr CAGR</t>
  </si>
  <si>
    <t xml:space="preserve">Revenue from operations</t>
  </si>
  <si>
    <t xml:space="preserve">Other income</t>
  </si>
  <si>
    <t xml:space="preserve">Total Income</t>
  </si>
  <si>
    <t xml:space="preserve">Cost of materials consumed</t>
  </si>
  <si>
    <t xml:space="preserve">Purchases of stock-in-trade</t>
  </si>
  <si>
    <t xml:space="preserve">Changes in inventories (FG/WIP/stock-in-trade)</t>
  </si>
  <si>
    <t xml:space="preserve">Employee benefits expense</t>
  </si>
  <si>
    <t xml:space="preserve">Finance costs</t>
  </si>
  <si>
    <t xml:space="preserve">Depreciation and amortisation expense</t>
  </si>
  <si>
    <t xml:space="preserve">Other expenses</t>
  </si>
  <si>
    <t xml:space="preserve">Vehicles / dies for own use</t>
  </si>
  <si>
    <t xml:space="preserve">Total Expenses</t>
  </si>
  <si>
    <t xml:space="preserve">Profit Before Tax (PBT)</t>
  </si>
  <si>
    <t xml:space="preserve">Total tax expense</t>
  </si>
  <si>
    <t xml:space="preserve">Profit After Tax (PAT)</t>
  </si>
  <si>
    <t xml:space="preserve">Year-on-Year Growth (%)</t>
  </si>
  <si>
    <t xml:space="preserve">-</t>
  </si>
  <si>
    <t xml:space="preserve">Sources (all standalone Statement of Profit and Loss, primary company disclosures):</t>
  </si>
  <si>
    <t xml:space="preserve">Maruti Suzuki — Volume &amp; Average Selling Price (ASP)</t>
  </si>
  <si>
    <t xml:space="preserve">Figures in ₹ million unless noted. Revenue in ₹ crore ÷ 10 = ₹ million</t>
  </si>
  <si>
    <t xml:space="preserve">Line item</t>
  </si>
  <si>
    <t xml:space="preserve">Total vehicles sold (units)</t>
  </si>
  <si>
    <t xml:space="preserve">  of which: Domestic sales</t>
  </si>
  <si>
    <t xml:space="preserve">  of which: Exports</t>
  </si>
  <si>
    <t xml:space="preserve">Revenue from operations (₹ mn)</t>
  </si>
  <si>
    <t xml:space="preserve">Average Selling Price (₹ mn / unit)</t>
  </si>
  <si>
    <t xml:space="preserve">ASP YoY growth (%)</t>
  </si>
  <si>
    <t xml:space="preserve">n/a</t>
  </si>
  <si>
    <t xml:space="preserve">Revenue YoY growth (%)</t>
  </si>
  <si>
    <t xml:space="preserve">Volume YoY growth (%)</t>
  </si>
  <si>
    <t xml:space="preserve">Maruti Suzuki — Margin Waterfall (₹ mn and % of Revenue)</t>
  </si>
  <si>
    <t xml:space="preserve">Line item (₹ mn)</t>
  </si>
  <si>
    <t xml:space="preserve">Total income</t>
  </si>
  <si>
    <t xml:space="preserve">Less: Operating expenses</t>
  </si>
  <si>
    <t xml:space="preserve">Employee benefit expense</t>
  </si>
  <si>
    <t xml:space="preserve">Total operating expenses (ex D&amp;A, finance cost)</t>
  </si>
  <si>
    <t xml:space="preserve">EBITDA</t>
  </si>
  <si>
    <t xml:space="preserve">Depreciation &amp; amortisation</t>
  </si>
  <si>
    <t xml:space="preserve">EBIT</t>
  </si>
  <si>
    <t xml:space="preserve">PBT (Profit before tax)</t>
  </si>
  <si>
    <t xml:space="preserve">PAT (Profit after tax)</t>
  </si>
  <si>
    <t xml:space="preserve">Year-over-year growth (%)</t>
  </si>
  <si>
    <t xml:space="preserve">Revenue growth</t>
  </si>
  <si>
    <t xml:space="preserve">EBITDA growth</t>
  </si>
  <si>
    <t xml:space="preserve">PAT growth</t>
  </si>
  <si>
    <t xml:space="preserve">Sources &amp; Narrative Log</t>
  </si>
  <si>
    <t xml:space="preserve">Source (report, page/section)</t>
  </si>
  <si>
    <t xml:space="preserve">Revenue FY22</t>
  </si>
  <si>
    <t xml:space="preserve">MSIL FY2022-23 Annual Report, Standalone P&amp;L, prior-year column</t>
  </si>
  <si>
    <t xml:space="preserve">Purchases of stock-in-trade FY22-FY26</t>
  </si>
  <si>
    <t xml:space="preserve">Stage 2 sheet (already sourced) -- cross-check vs FY24/FY25 MD&amp;A</t>
  </si>
  <si>
    <t xml:space="preserve">Vehicles sold, all years</t>
  </si>
  <si>
    <t xml:space="preserve">MSIL Annual Integrated Reports FY22-23 (FY22/FY23), FY23-24 (FY24/FY23 cross-check), FY25-26 (FY25/FY26) -- 'Volumes (Nos.)' row, Abridged Profit &amp; Loss Account</t>
  </si>
  <si>
    <t xml:space="preserve">Cost of materials, employee cost, D&amp;A, finance cost</t>
  </si>
  <si>
    <t xml:space="preserve">Standalone Statement of Profit and Loss, each year's Annual Integrated Report (already sourced in Stage 2 for FY25/FY26; FY22-FY24 sourced directly for this stage)</t>
  </si>
  <si>
    <t xml:space="preserve">STAGE 3 NARRATIVE </t>
  </si>
  <si>
    <t xml:space="preserve">Revenue driver (volume vs ASP):</t>
  </si>
  <si>
    <t xml:space="preserve">Revenue grew every year (FY22-FY26), but the ASP tab shows Revenue growth has consistently run ahead of Volume growth (e.g. FY26: revenue +19.9% vs volume +8.4%), meaning ASP/price-mix -- not units sold -- is the primary revenue driver. This is consistent with Maruti's push into higher-priced SUVs (Grand Vitara, Invicto, Victoris, Fronx) diluting its traditionally small-car-heavy mix.</t>
  </si>
  <si>
    <t xml:space="preserve">Biggest margin driver (which cost line):</t>
  </si>
  <si>
    <t xml:space="preserve">Cost of materials consumed as % of revenue: 45.0% (FY22) -&gt; 39.7% (FY23) -&gt; 32.6% (FY24) -&gt; 57.1% (FY25) -&gt; 60.9% (FY26). Margins actually EXPANDED FY22-FY24 (post-COVID/semiconductor-shortage recovery), then materials cost ratio jumped sharply and unusually in FY25 and kept rising in FY26 -- this, not a steady multi-year decline, is the real margin story. EBITDA margin peaked at 12.1% in FY25 then fell to 10.3% in FY26; PAT margin peaked 8.9% in FY24, fell to 8.3% (FY25) and 6.5% (FY26). Cross-checked all 5 years directly against each year's audited Standalone Statement of Profit and Loss (not notes pages, which had a PDF text-extraction column-merge artifact that briefly suggested a discrepancy -- resolved by going back to the primary full P&amp;L statement in each report). The FY24-&gt;FY25 jump in materials cost ratio is large enough that it should be investigated further in the MD&amp;A/commodity-cost commentary before finalizing this as your headline margin driver.</t>
  </si>
  <si>
    <t xml:space="preserve">Open question (stock-in-trade swing, MD&amp;A finding):</t>
  </si>
  <si>
    <t xml:space="preserve">Working hypothesis, NOT confirmed by an explicit MD&amp;A statement: Purchases of stock-in-trade rose sharply after the Sept-2022 launch of Grand Vitara (FY23) and the 2023 launch of Invicto (FY24) -- both built on a shared Suzuki-Toyota platform arrangement (the FY23-24 report explicitly references the Toyota Tsusho Group collaboration). The subsequent drop in FY25-FY26 is consistent with Maruti increasing in-house/localised production of these models over time, reducing reliance on externally sourced stock-in-trade. This is an inference from timing + context clues, not a number the company states directly -- flag this distinction if asked in an interview.</t>
  </si>
  <si>
    <t xml:space="preserve">Comparable Company Analysis — Auto (Passenger Vehicle / Auto OEM peers)</t>
  </si>
  <si>
    <t xml:space="preserve">All figures in ₹ (Price), ₹ million (Market Cap/EV/EBITDA), ₹ million shares (Shares O/S).</t>
  </si>
  <si>
    <t xml:space="preserve">Particulars</t>
  </si>
  <si>
    <t xml:space="preserve">Maruti Suzuki</t>
  </si>
  <si>
    <t xml:space="preserve">Tata Motors</t>
  </si>
  <si>
    <t xml:space="preserve">M&amp;M</t>
  </si>
  <si>
    <t xml:space="preserve">Hyundai India</t>
  </si>
  <si>
    <t xml:space="preserve">Peer Avg (ex-Maruti)</t>
  </si>
  <si>
    <t xml:space="preserve">Price (₹ per share)</t>
  </si>
  <si>
    <t xml:space="preserve">Shares Outstanding (mn)</t>
  </si>
  <si>
    <t xml:space="preserve">Market Cap (₹ mn)</t>
  </si>
  <si>
    <t xml:space="preserve">Net Debt (₹ mn)</t>
  </si>
  <si>
    <t xml:space="preserve">Enterprise Value (₹ mn)</t>
  </si>
  <si>
    <t xml:space="preserve">EBITDA (₹ mn, latest FY/TTM)</t>
  </si>
  <si>
    <t xml:space="preserve">EPS (₹, latest FY/TTM)</t>
  </si>
  <si>
    <t xml:space="preserve">P/E (x)</t>
  </si>
  <si>
    <t xml:space="preserve">EV/EBITDA (x)</t>
  </si>
  <si>
    <t xml:space="preserve">Implied Maruti Valuation (based on Peer Average multiples)</t>
  </si>
  <si>
    <t xml:space="preserve">Method</t>
  </si>
  <si>
    <t xml:space="preserve">Implied Price per Share (₹)</t>
  </si>
  <si>
    <t xml:space="preserve">Peer Avg P/E × Maruti EPS</t>
  </si>
  <si>
    <t xml:space="preserve">Peer Avg EV/EBITDA implied EV, less Net Debt, ÷ Shares</t>
  </si>
  <si>
    <t xml:space="preserve">Sources &amp; Narrative</t>
  </si>
  <si>
    <t xml:space="preserve">Maruti Shares O/S</t>
  </si>
  <si>
    <t xml:space="preserve">Derived: Equity Share Capital ₹1,572mn ÷ ₹5 face value = 314.4mn. MSIL AIR 2025-26.</t>
  </si>
  <si>
    <t xml:space="preserve">Maruti EBITDA</t>
  </si>
  <si>
    <t xml:space="preserve">Operating EBIT (₹147,097mn) + D&amp;A (₹67,405mn) = ₹214,502mn. MSIL AIR 2025-26, 5-Year Performance Summary.</t>
  </si>
  <si>
    <t xml:space="preserve">Maruti EPS</t>
  </si>
  <si>
    <t xml:space="preserve">₹459 (FY26). MSIL AIR 2025-26, 5-Year Performance Summary.</t>
  </si>
  <si>
    <t xml:space="preserve">Maruti Price &amp; Net Debt</t>
  </si>
  <si>
    <t xml:space="preserve"> current price from NSE/BSE; net debt from latest Balance Sheet (Company had near-zero/net-cash position historically).</t>
  </si>
  <si>
    <t xml:space="preserve">Tata Motors, M&amp;M, Hyundai India — all fields</t>
  </si>
  <si>
    <t xml:space="preserve"> each company's latest Annual Report / investor presentation + NSE/BSE for price &amp; shares.</t>
  </si>
  <si>
    <t xml:space="preserve">Sources for  data</t>
  </si>
  <si>
    <t xml:space="preserve">Maruti Price/Net Debt</t>
  </si>
  <si>
    <t xml:space="preserve">Price ₹13,520 (NSE, 26-Aug-2026, Bajaj Finserv). Net debt est. -₹55,000mn (net cash), consistent with historically net-cash balance sheet.</t>
  </si>
  <si>
    <t xml:space="preserve">Price ₹475 (NSE, 21-Aug-2026, INDmoney); Shares O/S ~3,705mn; Net debt ~₹1,080,000mn and EBITDA ₹466,390mn (TTM, Tipranks); EPS ₹78.8 (Tipranks TTM).</t>
  </si>
  <si>
    <t xml:space="preserve">Price ₹3,418 (NSE, 21-Aug-2026, Tickertape); Shares O/S ~1,201mn (GuruFocus); EPS ₹124.7 TTM (Business Standard). EBITDA/Net debt are estimates (conglomerate incl. NBFC arm) — verify against standalone auto-segment financials before use.</t>
  </si>
  <si>
    <t xml:space="preserve">Hyundai Motor India</t>
  </si>
  <si>
    <t xml:space="preserve">Price ₹2,018.6 (NSE, mid-2026, Yahoo Finance); Shares O/S ~812.5mn, EBITDA ₹89,410mn, EPS ₹69.4 TTM (Tipranks). Net cash position (~-₹100,000mn) est.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</si>
</sst>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"/>
    <numFmt numFmtId="167" formatCode="#,##0.00"/>
    <numFmt numFmtId="168" formatCode="0.0%;\(0.0%\);\-"/>
    <numFmt numFmtId="169" formatCode="#,##0.0;\(#,##0.0\)"/>
    <numFmt numFmtId="170" formatCode="0.0\x"/>
    <numFmt numFmtId="171" formatCode="#,##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i val="true"/>
      <sz val="10"/>
      <color rgb="FF595959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3"/>
      <name val="Arial"/>
      <family val="2"/>
      <charset val="1"/>
    </font>
    <font>
      <i val="true"/>
      <sz val="9"/>
      <color rgb="FF666666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theme="1"/>
      <name val="Cambria"/>
      <family val="1"/>
      <charset val="1"/>
    </font>
    <font>
      <sz val="11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9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1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1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7B7B7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5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3.67"/>
    <col collapsed="false" customWidth="true" hidden="false" outlineLevel="0" max="2" min="2" style="0" width="25.88"/>
    <col collapsed="false" customWidth="true" hidden="false" outlineLevel="0" max="3" min="3" style="0" width="9.88"/>
    <col collapsed="false" customWidth="true" hidden="false" outlineLevel="0" max="4" min="4" style="0" width="12"/>
  </cols>
  <sheetData>
    <row r="1" customFormat="false" ht="16.5" hidden="false" customHeight="true" outlineLevel="0" collapsed="false">
      <c r="A1" s="5" t="s">
        <v>10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6" t="s">
        <v>11</v>
      </c>
      <c r="B2" s="6"/>
      <c r="C2" s="6"/>
      <c r="D2" s="6"/>
      <c r="E2" s="6"/>
      <c r="F2" s="6"/>
      <c r="G2" s="6"/>
    </row>
    <row r="3" customFormat="false" ht="15" hidden="false" customHeight="false" outlineLevel="0" collapsed="false">
      <c r="A3" s="7" t="s">
        <v>12</v>
      </c>
      <c r="B3" s="8" t="s">
        <v>13</v>
      </c>
      <c r="D3" s="9" t="s">
        <v>14</v>
      </c>
    </row>
    <row r="5" customFormat="false" ht="26.85" hidden="false" customHeight="false" outlineLevel="0" collapsed="false">
      <c r="A5" s="10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</row>
    <row r="6" customFormat="false" ht="15" hidden="false" customHeight="false" outlineLevel="0" collapsed="false">
      <c r="A6" s="11" t="s">
        <v>22</v>
      </c>
      <c r="B6" s="12" t="n">
        <v>882956</v>
      </c>
      <c r="C6" s="12" t="n">
        <v>1175229</v>
      </c>
      <c r="D6" s="12" t="n">
        <v>1409326</v>
      </c>
      <c r="E6" s="12" t="n">
        <v>1528679</v>
      </c>
      <c r="F6" s="12" t="n">
        <v>1832661</v>
      </c>
      <c r="G6" s="13" t="n">
        <f aca="false">IFERROR((F6/B6)^(1/4)-1,"-")</f>
        <v>0.200288842238413</v>
      </c>
    </row>
    <row r="7" customFormat="false" ht="15" hidden="false" customHeight="false" outlineLevel="0" collapsed="false">
      <c r="A7" s="11" t="s">
        <v>23</v>
      </c>
      <c r="B7" s="12" t="n">
        <v>17935</v>
      </c>
      <c r="C7" s="12" t="n">
        <v>21613</v>
      </c>
      <c r="D7" s="12" t="n">
        <v>38548</v>
      </c>
      <c r="E7" s="12" t="n">
        <v>50647</v>
      </c>
      <c r="F7" s="12" t="n">
        <v>43919</v>
      </c>
      <c r="G7" s="13" t="n">
        <f aca="false">IFERROR((F7/B7)^(1/4)-1,"-")</f>
        <v>0.250943703560957</v>
      </c>
    </row>
    <row r="8" customFormat="false" ht="15" hidden="false" customHeight="false" outlineLevel="0" collapsed="false">
      <c r="A8" s="14" t="s">
        <v>24</v>
      </c>
      <c r="B8" s="15" t="n">
        <f aca="false">B6+B7</f>
        <v>900891</v>
      </c>
      <c r="C8" s="15" t="n">
        <f aca="false">C6+C7</f>
        <v>1196842</v>
      </c>
      <c r="D8" s="15" t="n">
        <f aca="false">D6+D7</f>
        <v>1447874</v>
      </c>
      <c r="E8" s="15" t="n">
        <f aca="false">E6+E7</f>
        <v>1579326</v>
      </c>
      <c r="F8" s="15" t="n">
        <f aca="false">F6+F7</f>
        <v>1876580</v>
      </c>
      <c r="G8" s="16" t="n">
        <f aca="false">IFERROR((F8/B8)^(1/4)-1,"-")</f>
        <v>0.201361496616145</v>
      </c>
    </row>
    <row r="9" customFormat="false" ht="15" hidden="false" customHeight="false" outlineLevel="0" collapsed="false">
      <c r="A9" s="11" t="s">
        <v>25</v>
      </c>
      <c r="B9" s="12" t="n">
        <v>397387</v>
      </c>
      <c r="C9" s="12" t="n">
        <v>466700</v>
      </c>
      <c r="D9" s="12" t="n">
        <v>459397</v>
      </c>
      <c r="E9" s="12" t="n">
        <v>873183</v>
      </c>
      <c r="F9" s="12" t="n">
        <v>1116633</v>
      </c>
      <c r="G9" s="13" t="n">
        <f aca="false">IFERROR((F9/B9)^(1/4)-1,"-")</f>
        <v>0.294715063003656</v>
      </c>
    </row>
    <row r="10" customFormat="false" ht="15" hidden="false" customHeight="false" outlineLevel="0" collapsed="false">
      <c r="A10" s="11" t="s">
        <v>26</v>
      </c>
      <c r="B10" s="12" t="n">
        <v>263905</v>
      </c>
      <c r="C10" s="12" t="n">
        <v>399772</v>
      </c>
      <c r="D10" s="12" t="n">
        <v>551099</v>
      </c>
      <c r="E10" s="12" t="n">
        <v>213927</v>
      </c>
      <c r="F10" s="12" t="n">
        <v>231741</v>
      </c>
      <c r="G10" s="13" t="n">
        <f aca="false">IFERROR((F10/B10)^(1/4)-1,"-")</f>
        <v>-0.0319700046850295</v>
      </c>
    </row>
    <row r="11" customFormat="false" ht="15" hidden="false" customHeight="false" outlineLevel="0" collapsed="false">
      <c r="A11" s="11" t="s">
        <v>27</v>
      </c>
      <c r="B11" s="12" t="n">
        <v>-919</v>
      </c>
      <c r="C11" s="12" t="n">
        <v>-4037</v>
      </c>
      <c r="D11" s="12" t="n">
        <v>-4429</v>
      </c>
      <c r="E11" s="12" t="n">
        <v>-12274</v>
      </c>
      <c r="F11" s="12" t="n">
        <v>-22709</v>
      </c>
      <c r="G11" s="13" t="n">
        <f aca="false">IFERROR((F11/B11)^(1/4)-1,"-")</f>
        <v>1.22956749800131</v>
      </c>
    </row>
    <row r="12" customFormat="false" ht="15" hidden="false" customHeight="false" outlineLevel="0" collapsed="false">
      <c r="A12" s="11" t="s">
        <v>28</v>
      </c>
      <c r="B12" s="12" t="n">
        <v>40222</v>
      </c>
      <c r="C12" s="12" t="n">
        <v>46051</v>
      </c>
      <c r="D12" s="12" t="n">
        <v>54784</v>
      </c>
      <c r="E12" s="12" t="n">
        <v>70057</v>
      </c>
      <c r="F12" s="12" t="n">
        <v>90290</v>
      </c>
      <c r="G12" s="13" t="n">
        <f aca="false">IFERROR((F12/B12)^(1/4)-1,"-")</f>
        <v>0.224035455615522</v>
      </c>
    </row>
    <row r="13" customFormat="false" ht="15" hidden="false" customHeight="false" outlineLevel="0" collapsed="false">
      <c r="A13" s="11" t="s">
        <v>29</v>
      </c>
      <c r="B13" s="12" t="n">
        <v>1259</v>
      </c>
      <c r="C13" s="12" t="n">
        <v>1866</v>
      </c>
      <c r="D13" s="12" t="n">
        <v>1932</v>
      </c>
      <c r="E13" s="12" t="n">
        <v>1942</v>
      </c>
      <c r="F13" s="12" t="n">
        <v>2387</v>
      </c>
      <c r="G13" s="13" t="n">
        <f aca="false">IFERROR((F13/B13)^(1/4)-1,"-")</f>
        <v>0.17342860850254</v>
      </c>
    </row>
    <row r="14" customFormat="false" ht="15" hidden="false" customHeight="false" outlineLevel="0" collapsed="false">
      <c r="A14" s="11" t="s">
        <v>30</v>
      </c>
      <c r="B14" s="12" t="n">
        <v>27865</v>
      </c>
      <c r="C14" s="12" t="n">
        <v>28233</v>
      </c>
      <c r="D14" s="12" t="n">
        <v>30223</v>
      </c>
      <c r="E14" s="12" t="n">
        <v>56070</v>
      </c>
      <c r="F14" s="12" t="n">
        <v>67405</v>
      </c>
      <c r="G14" s="13" t="n">
        <f aca="false">IFERROR((F14/B14)^(1/4)-1,"-")</f>
        <v>0.247120064236775</v>
      </c>
    </row>
    <row r="15" customFormat="false" ht="15" hidden="false" customHeight="false" outlineLevel="0" collapsed="false">
      <c r="A15" s="11" t="s">
        <v>31</v>
      </c>
      <c r="B15" s="12" t="n">
        <v>126794</v>
      </c>
      <c r="C15" s="12" t="n">
        <v>158039</v>
      </c>
      <c r="D15" s="12" t="n">
        <v>186352</v>
      </c>
      <c r="E15" s="12" t="n">
        <v>186043</v>
      </c>
      <c r="F15" s="12" t="n">
        <v>205091</v>
      </c>
      <c r="G15" s="13" t="n">
        <f aca="false">IFERROR((F15/B15)^(1/4)-1,"-")</f>
        <v>0.127747764684667</v>
      </c>
    </row>
    <row r="16" customFormat="false" ht="15" hidden="false" customHeight="false" outlineLevel="0" collapsed="false">
      <c r="A16" s="11" t="s">
        <v>32</v>
      </c>
      <c r="B16" s="12" t="n">
        <v>-1445</v>
      </c>
      <c r="C16" s="12" t="n">
        <v>-1373</v>
      </c>
      <c r="D16" s="12" t="n">
        <v>-1888</v>
      </c>
      <c r="E16" s="12" t="n">
        <v>-3749</v>
      </c>
      <c r="F16" s="12" t="n">
        <v>-2887</v>
      </c>
      <c r="G16" s="13" t="n">
        <f aca="false">IFERROR((F16/B16)^(1/4)-1,"-")</f>
        <v>0.18889837702984</v>
      </c>
    </row>
    <row r="17" customFormat="false" ht="15" hidden="false" customHeight="false" outlineLevel="0" collapsed="false">
      <c r="A17" s="14" t="s">
        <v>33</v>
      </c>
      <c r="B17" s="15" t="n">
        <f aca="false">B9+B10+B11+B12+B13+B14+B15+B16</f>
        <v>855068</v>
      </c>
      <c r="C17" s="15" t="n">
        <f aca="false">C9+C10+C11+C12+C13+C14+C15+C16</f>
        <v>1095251</v>
      </c>
      <c r="D17" s="15" t="n">
        <f aca="false">D9+D10+D11+D12+D13+D14+D15+D16</f>
        <v>1277470</v>
      </c>
      <c r="E17" s="15" t="n">
        <f aca="false">E9+E10+E11+E12+E13+E14+E15+E16</f>
        <v>1385199</v>
      </c>
      <c r="F17" s="15" t="n">
        <f aca="false">F9+F10+F11+F12+F13+F14+F15+F16</f>
        <v>1687951</v>
      </c>
      <c r="G17" s="16" t="n">
        <f aca="false">IFERROR((F17/B17)^(1/4)-1,"-")</f>
        <v>0.18533141677723</v>
      </c>
    </row>
    <row r="18" customFormat="false" ht="15" hidden="false" customHeight="false" outlineLevel="0" collapsed="false">
      <c r="A18" s="14" t="s">
        <v>34</v>
      </c>
      <c r="B18" s="15" t="n">
        <f aca="false">B8-B17</f>
        <v>45823</v>
      </c>
      <c r="C18" s="15" t="n">
        <f aca="false">C8-C17</f>
        <v>101591</v>
      </c>
      <c r="D18" s="15" t="n">
        <f aca="false">D8-D17</f>
        <v>170404</v>
      </c>
      <c r="E18" s="15" t="n">
        <f aca="false">E8-E17</f>
        <v>194127</v>
      </c>
      <c r="F18" s="15" t="n">
        <f aca="false">F8-F17</f>
        <v>188629</v>
      </c>
      <c r="G18" s="16" t="n">
        <f aca="false">IFERROR((F18/B18)^(1/4)-1,"-")</f>
        <v>0.424397608719149</v>
      </c>
    </row>
    <row r="19" customFormat="false" ht="15" hidden="false" customHeight="false" outlineLevel="0" collapsed="false">
      <c r="A19" s="11" t="s">
        <v>35</v>
      </c>
      <c r="B19" s="12" t="n">
        <v>8160</v>
      </c>
      <c r="C19" s="12" t="n">
        <v>21099</v>
      </c>
      <c r="D19" s="12" t="n">
        <v>38310</v>
      </c>
      <c r="E19" s="12" t="n">
        <v>51151</v>
      </c>
      <c r="F19" s="12" t="n">
        <v>44175</v>
      </c>
      <c r="G19" s="13" t="n">
        <f aca="false">IFERROR((F19/B19)^(1/4)-1,"-")</f>
        <v>0.52535735279094</v>
      </c>
    </row>
    <row r="20" customFormat="false" ht="15" hidden="false" customHeight="false" outlineLevel="0" collapsed="false">
      <c r="A20" s="14" t="s">
        <v>36</v>
      </c>
      <c r="B20" s="15" t="n">
        <f aca="false">B18-B19</f>
        <v>37663</v>
      </c>
      <c r="C20" s="15" t="n">
        <f aca="false">C18-C19</f>
        <v>80492</v>
      </c>
      <c r="D20" s="15" t="n">
        <f aca="false">D18-D19</f>
        <v>132094</v>
      </c>
      <c r="E20" s="15" t="n">
        <f aca="false">E18-E19</f>
        <v>142976</v>
      </c>
      <c r="F20" s="15" t="n">
        <f aca="false">F18-F19</f>
        <v>144454</v>
      </c>
      <c r="G20" s="16" t="n">
        <f aca="false">IFERROR((F20/B20)^(1/4)-1,"-")</f>
        <v>0.399438009717448</v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</row>
    <row r="23" customFormat="false" ht="15" hidden="false" customHeight="false" outlineLevel="0" collapsed="false">
      <c r="A23" s="17" t="s">
        <v>37</v>
      </c>
      <c r="B23" s="18" t="s">
        <v>16</v>
      </c>
      <c r="C23" s="18" t="s">
        <v>17</v>
      </c>
      <c r="D23" s="18" t="s">
        <v>18</v>
      </c>
      <c r="E23" s="18" t="s">
        <v>19</v>
      </c>
      <c r="F23" s="18" t="s">
        <v>20</v>
      </c>
      <c r="G23" s="11"/>
    </row>
    <row r="24" customFormat="false" ht="15" hidden="false" customHeight="false" outlineLevel="0" collapsed="false">
      <c r="A24" s="19" t="s">
        <v>22</v>
      </c>
      <c r="B24" s="11" t="s">
        <v>38</v>
      </c>
      <c r="C24" s="20" t="n">
        <f aca="false">(C6-B6)/B6</f>
        <v>0.331016494593162</v>
      </c>
      <c r="D24" s="20" t="n">
        <f aca="false">(D6-C6)/C6</f>
        <v>0.199192667982155</v>
      </c>
      <c r="E24" s="20" t="n">
        <f aca="false">(E6-D6)/D6</f>
        <v>0.084687999795647</v>
      </c>
      <c r="F24" s="20" t="n">
        <f aca="false">(F6-E6)/E6</f>
        <v>0.198852734943046</v>
      </c>
      <c r="G24" s="11"/>
    </row>
    <row r="25" customFormat="false" ht="15" hidden="false" customHeight="false" outlineLevel="0" collapsed="false">
      <c r="A25" s="19" t="s">
        <v>36</v>
      </c>
      <c r="B25" s="11" t="s">
        <v>38</v>
      </c>
      <c r="C25" s="20" t="n">
        <f aca="false">(C20-B20)/B20</f>
        <v>1.13716379470568</v>
      </c>
      <c r="D25" s="20" t="n">
        <f aca="false">(D20-C20)/C20</f>
        <v>0.64108234358694</v>
      </c>
      <c r="E25" s="20" t="n">
        <f aca="false">(E20-D20)/D20</f>
        <v>0.0823807288748921</v>
      </c>
      <c r="F25" s="20" t="n">
        <f aca="false">(F20-E20)/E20</f>
        <v>0.0103373992837959</v>
      </c>
      <c r="G25" s="11"/>
    </row>
    <row r="27" customFormat="false" ht="15" hidden="false" customHeight="false" outlineLevel="0" collapsed="false">
      <c r="A27" s="21" t="s">
        <v>39</v>
      </c>
    </row>
    <row r="28" customFormat="false" ht="15" hidden="false" customHeight="false" outlineLevel="0" collapsed="false">
      <c r="A28" s="21"/>
    </row>
    <row r="29" customFormat="false" ht="15" hidden="false" customHeight="false" outlineLevel="0" collapsed="false">
      <c r="A29" s="21"/>
    </row>
    <row r="30" customFormat="false" ht="15" hidden="false" customHeight="false" outlineLevel="0" collapsed="false">
      <c r="A30" s="21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.44"/>
    <col collapsed="false" customWidth="true" hidden="false" outlineLevel="0" max="2" min="2" style="0" width="3"/>
    <col collapsed="false" customWidth="true" hidden="false" outlineLevel="0" max="3" min="3" style="0" width="14"/>
  </cols>
  <sheetData>
    <row r="1" customFormat="false" ht="17.25" hidden="false" customHeight="true" outlineLevel="0" collapsed="false">
      <c r="A1" s="22" t="s">
        <v>40</v>
      </c>
    </row>
    <row r="2" customFormat="false" ht="15" hidden="false" customHeight="true" outlineLevel="0" collapsed="false">
      <c r="A2" s="23" t="s">
        <v>41</v>
      </c>
    </row>
    <row r="4" customFormat="false" ht="15" hidden="false" customHeight="true" outlineLevel="0" collapsed="false">
      <c r="A4" s="24" t="s">
        <v>42</v>
      </c>
      <c r="C4" s="25" t="s">
        <v>16</v>
      </c>
      <c r="D4" s="25" t="s">
        <v>17</v>
      </c>
      <c r="E4" s="25" t="s">
        <v>18</v>
      </c>
      <c r="F4" s="25" t="s">
        <v>19</v>
      </c>
      <c r="G4" s="25" t="s">
        <v>20</v>
      </c>
    </row>
    <row r="5" customFormat="false" ht="15" hidden="false" customHeight="true" outlineLevel="0" collapsed="false">
      <c r="A5" s="26" t="s">
        <v>43</v>
      </c>
      <c r="C5" s="27" t="n">
        <v>1652653</v>
      </c>
      <c r="D5" s="27" t="n">
        <v>1966164</v>
      </c>
      <c r="E5" s="27" t="n">
        <v>2135323</v>
      </c>
      <c r="F5" s="27" t="n">
        <v>2234266</v>
      </c>
      <c r="G5" s="27" t="n">
        <v>2422713</v>
      </c>
    </row>
    <row r="6" customFormat="false" ht="15" hidden="false" customHeight="true" outlineLevel="0" collapsed="false">
      <c r="A6" s="28" t="s">
        <v>44</v>
      </c>
      <c r="C6" s="27" t="n">
        <v>1414277</v>
      </c>
      <c r="D6" s="27" t="n">
        <v>1706831</v>
      </c>
      <c r="E6" s="27" t="n">
        <v>1852256</v>
      </c>
      <c r="F6" s="27" t="n">
        <v>1901681</v>
      </c>
      <c r="G6" s="27" t="n">
        <v>1974939</v>
      </c>
    </row>
    <row r="7" customFormat="false" ht="15" hidden="false" customHeight="true" outlineLevel="0" collapsed="false">
      <c r="A7" s="28" t="s">
        <v>45</v>
      </c>
      <c r="C7" s="27" t="n">
        <v>238376</v>
      </c>
      <c r="D7" s="27" t="n">
        <v>259333</v>
      </c>
      <c r="E7" s="27" t="n">
        <v>283067</v>
      </c>
      <c r="F7" s="27" t="n">
        <v>332585</v>
      </c>
      <c r="G7" s="27" t="n">
        <v>447774</v>
      </c>
    </row>
    <row r="9" customFormat="false" ht="15" hidden="false" customHeight="true" outlineLevel="0" collapsed="false">
      <c r="A9" s="26" t="s">
        <v>46</v>
      </c>
      <c r="C9" s="29" t="n">
        <v>882956</v>
      </c>
      <c r="D9" s="27" t="n">
        <v>1175229</v>
      </c>
      <c r="E9" s="27" t="n">
        <v>1409326</v>
      </c>
      <c r="F9" s="27" t="n">
        <v>1528679</v>
      </c>
      <c r="G9" s="27" t="n">
        <v>1832661</v>
      </c>
    </row>
    <row r="11" customFormat="false" ht="15" hidden="false" customHeight="true" outlineLevel="0" collapsed="false">
      <c r="A11" s="26" t="s">
        <v>47</v>
      </c>
      <c r="C11" s="30" t="n">
        <f aca="false">IF(C5=0,"-",C9/C5)</f>
        <v>0.534265813815725</v>
      </c>
      <c r="D11" s="30" t="n">
        <f aca="false">IF(D5=0,"-",D9/D5)</f>
        <v>0.597726842725225</v>
      </c>
      <c r="E11" s="30" t="n">
        <f aca="false">IF(E5=0,"-",E9/E5)</f>
        <v>0.660006003775541</v>
      </c>
      <c r="F11" s="30" t="n">
        <f aca="false">IF(F5=0,"-",F9/F5)</f>
        <v>0.684197405322374</v>
      </c>
      <c r="G11" s="30" t="n">
        <f aca="false">IF(G5=0,"-",G9/G5)</f>
        <v>0.756449897284573</v>
      </c>
    </row>
    <row r="13" customFormat="false" ht="15" hidden="false" customHeight="true" outlineLevel="0" collapsed="false">
      <c r="A13" s="26" t="s">
        <v>48</v>
      </c>
      <c r="C13" s="31" t="s">
        <v>49</v>
      </c>
      <c r="D13" s="32" t="n">
        <f aca="false">IFERROR(D11/C11-1,"-")</f>
        <v>0.11878175108428</v>
      </c>
      <c r="E13" s="32" t="n">
        <f aca="false">IFERROR(E11/D11-1,"-")</f>
        <v>0.104193348196252</v>
      </c>
      <c r="F13" s="32" t="n">
        <f aca="false">IFERROR(F11/E11-1,"-")</f>
        <v>0.0366533052857807</v>
      </c>
      <c r="G13" s="32" t="n">
        <f aca="false">IFERROR(G11/F11-1,"-")</f>
        <v>0.105601821053612</v>
      </c>
    </row>
    <row r="15" customFormat="false" ht="15" hidden="false" customHeight="true" outlineLevel="0" collapsed="false">
      <c r="A15" s="26" t="s">
        <v>50</v>
      </c>
      <c r="C15" s="31" t="s">
        <v>49</v>
      </c>
      <c r="D15" s="32" t="n">
        <f aca="false">IFERROR(D9/C9-1,"-")</f>
        <v>0.331016494593162</v>
      </c>
      <c r="E15" s="32" t="n">
        <f aca="false">IFERROR(E9/D9-1,"-")</f>
        <v>0.199192667982155</v>
      </c>
      <c r="F15" s="32" t="n">
        <f aca="false">IFERROR(F9/E9-1,"-")</f>
        <v>0.0846879997956469</v>
      </c>
      <c r="G15" s="32" t="n">
        <f aca="false">IFERROR(G9/F9-1,"-")</f>
        <v>0.198852734943046</v>
      </c>
    </row>
    <row r="17" customFormat="false" ht="15" hidden="false" customHeight="true" outlineLevel="0" collapsed="false">
      <c r="A17" s="26" t="s">
        <v>51</v>
      </c>
      <c r="C17" s="31" t="s">
        <v>49</v>
      </c>
      <c r="D17" s="32" t="n">
        <f aca="false">IFERROR(D5/C5-1,"-")</f>
        <v>0.189701649408557</v>
      </c>
      <c r="E17" s="32" t="n">
        <f aca="false">IFERROR(E5/D5-1,"-")</f>
        <v>0.086035040820603</v>
      </c>
      <c r="F17" s="32" t="n">
        <f aca="false">IFERROR(F5/E5-1,"-")</f>
        <v>0.046336315395844</v>
      </c>
      <c r="G17" s="32" t="n">
        <f aca="false">IFERROR(G5/F5-1,"-")</f>
        <v>0.084344030657048</v>
      </c>
    </row>
    <row r="19" customFormat="false" ht="15" hidden="false" customHeight="true" outlineLevel="0" collapsed="false"/>
    <row r="20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6.11"/>
    <col collapsed="false" customWidth="true" hidden="false" outlineLevel="0" max="2" min="2" style="0" width="3"/>
    <col collapsed="false" customWidth="true" hidden="false" outlineLevel="0" max="3" min="3" style="0" width="13"/>
    <col collapsed="false" customWidth="true" hidden="false" outlineLevel="0" max="8" min="8" style="0" width="2"/>
    <col collapsed="false" customWidth="true" hidden="false" outlineLevel="0" max="9" min="9" style="0" width="10"/>
  </cols>
  <sheetData>
    <row r="1" customFormat="false" ht="17.25" hidden="false" customHeight="true" outlineLevel="0" collapsed="false">
      <c r="A1" s="22" t="s">
        <v>52</v>
      </c>
    </row>
    <row r="2" customFormat="false" ht="15" hidden="false" customHeight="true" outlineLevel="0" collapsed="false">
      <c r="A2" s="33"/>
    </row>
    <row r="4" customFormat="false" ht="15" hidden="false" customHeight="true" outlineLevel="0" collapsed="false">
      <c r="A4" s="24" t="s">
        <v>53</v>
      </c>
      <c r="C4" s="25" t="s">
        <v>16</v>
      </c>
      <c r="D4" s="25" t="s">
        <v>17</v>
      </c>
      <c r="E4" s="25" t="s">
        <v>18</v>
      </c>
      <c r="F4" s="25" t="s">
        <v>19</v>
      </c>
      <c r="G4" s="25" t="s">
        <v>20</v>
      </c>
      <c r="H4" s="34"/>
      <c r="I4" s="25" t="s">
        <v>16</v>
      </c>
      <c r="J4" s="25" t="s">
        <v>17</v>
      </c>
      <c r="K4" s="25" t="s">
        <v>18</v>
      </c>
      <c r="L4" s="25" t="s">
        <v>19</v>
      </c>
      <c r="M4" s="25" t="s">
        <v>20</v>
      </c>
    </row>
    <row r="5" customFormat="false" ht="15" hidden="false" customHeight="true" outlineLevel="0" collapsed="false">
      <c r="A5" s="26" t="s">
        <v>22</v>
      </c>
      <c r="C5" s="29" t="n">
        <v>882956</v>
      </c>
      <c r="D5" s="27" t="n">
        <v>1175229</v>
      </c>
      <c r="E5" s="27" t="n">
        <v>1409326</v>
      </c>
      <c r="F5" s="27" t="n">
        <v>1528679</v>
      </c>
      <c r="G5" s="27" t="n">
        <v>1832661</v>
      </c>
      <c r="I5" s="35" t="n">
        <f aca="false">IFERROR(C5/C$5,"-")</f>
        <v>1</v>
      </c>
      <c r="J5" s="35" t="n">
        <f aca="false">IFERROR(D5/D$5,"-")</f>
        <v>1</v>
      </c>
      <c r="K5" s="35" t="n">
        <f aca="false">IFERROR(E5/E$5,"-")</f>
        <v>1</v>
      </c>
      <c r="L5" s="35" t="n">
        <f aca="false">IFERROR(F5/F$5,"-")</f>
        <v>1</v>
      </c>
      <c r="M5" s="35" t="n">
        <f aca="false">IFERROR(G5/G$5,"-")</f>
        <v>1</v>
      </c>
    </row>
    <row r="6" customFormat="false" ht="15" hidden="false" customHeight="true" outlineLevel="0" collapsed="false">
      <c r="A6" s="28" t="s">
        <v>23</v>
      </c>
      <c r="C6" s="29" t="n">
        <v>17935</v>
      </c>
      <c r="D6" s="27" t="n">
        <v>21613</v>
      </c>
      <c r="E6" s="27" t="n">
        <v>38548</v>
      </c>
      <c r="F6" s="27" t="n">
        <v>50647</v>
      </c>
      <c r="G6" s="27" t="n">
        <v>43919</v>
      </c>
    </row>
    <row r="7" customFormat="false" ht="15" hidden="false" customHeight="true" outlineLevel="0" collapsed="false">
      <c r="A7" s="26" t="s">
        <v>54</v>
      </c>
      <c r="C7" s="36" t="n">
        <f aca="false">C5+C6</f>
        <v>900891</v>
      </c>
      <c r="D7" s="36" t="n">
        <f aca="false">D5+D6</f>
        <v>1196842</v>
      </c>
      <c r="E7" s="36" t="n">
        <f aca="false">E5+E6</f>
        <v>1447874</v>
      </c>
      <c r="F7" s="36" t="n">
        <f aca="false">F5+F6</f>
        <v>1579326</v>
      </c>
      <c r="G7" s="36" t="n">
        <f aca="false">G5+G6</f>
        <v>1876580</v>
      </c>
    </row>
    <row r="9" customFormat="false" ht="15" hidden="false" customHeight="true" outlineLevel="0" collapsed="false">
      <c r="A9" s="26" t="s">
        <v>55</v>
      </c>
    </row>
    <row r="10" customFormat="false" ht="15" hidden="false" customHeight="true" outlineLevel="0" collapsed="false">
      <c r="A10" s="28" t="s">
        <v>25</v>
      </c>
      <c r="C10" s="27" t="n">
        <v>397387</v>
      </c>
      <c r="D10" s="27" t="n">
        <v>466700</v>
      </c>
      <c r="E10" s="27" t="n">
        <v>459397</v>
      </c>
      <c r="F10" s="27" t="n">
        <v>873183</v>
      </c>
      <c r="G10" s="27" t="n">
        <v>1116633</v>
      </c>
    </row>
    <row r="11" customFormat="false" ht="15" hidden="false" customHeight="true" outlineLevel="0" collapsed="false">
      <c r="A11" s="28" t="s">
        <v>26</v>
      </c>
      <c r="C11" s="29" t="n">
        <v>263905</v>
      </c>
      <c r="D11" s="29" t="n">
        <v>399772</v>
      </c>
      <c r="E11" s="29" t="n">
        <v>551099</v>
      </c>
      <c r="F11" s="29" t="n">
        <v>213927</v>
      </c>
      <c r="G11" s="29" t="n">
        <v>231741</v>
      </c>
    </row>
    <row r="12" customFormat="false" ht="15" hidden="false" customHeight="true" outlineLevel="0" collapsed="false">
      <c r="A12" s="28" t="s">
        <v>56</v>
      </c>
      <c r="C12" s="27" t="n">
        <v>40222</v>
      </c>
      <c r="D12" s="27" t="n">
        <v>46051</v>
      </c>
      <c r="E12" s="27" t="n">
        <v>54784</v>
      </c>
      <c r="F12" s="27" t="n">
        <v>70057</v>
      </c>
      <c r="G12" s="27" t="n">
        <v>90290</v>
      </c>
    </row>
    <row r="13" customFormat="false" ht="15" hidden="false" customHeight="true" outlineLevel="0" collapsed="false">
      <c r="A13" s="28" t="s">
        <v>31</v>
      </c>
      <c r="C13" s="27" t="n">
        <v>126794</v>
      </c>
      <c r="D13" s="27" t="n">
        <v>158039</v>
      </c>
      <c r="E13" s="27" t="n">
        <v>186352</v>
      </c>
      <c r="F13" s="27" t="n">
        <v>186043</v>
      </c>
      <c r="G13" s="27" t="n">
        <v>205091</v>
      </c>
    </row>
    <row r="14" customFormat="false" ht="15" hidden="false" customHeight="true" outlineLevel="0" collapsed="false">
      <c r="A14" s="26" t="s">
        <v>57</v>
      </c>
      <c r="C14" s="36" t="n">
        <f aca="false">SUM(C10:C13)</f>
        <v>828308</v>
      </c>
      <c r="D14" s="36" t="n">
        <f aca="false">SUM(D10:D13)</f>
        <v>1070562</v>
      </c>
      <c r="E14" s="36" t="n">
        <f aca="false">SUM(E10:E13)</f>
        <v>1251632</v>
      </c>
      <c r="F14" s="36" t="n">
        <f aca="false">SUM(F10:F13)</f>
        <v>1343210</v>
      </c>
      <c r="G14" s="36" t="n">
        <f aca="false">SUM(G10:G13)</f>
        <v>1643755</v>
      </c>
      <c r="I14" s="35" t="n">
        <f aca="false">IFERROR(C14/C$5,"-")</f>
        <v>0.938107901186469</v>
      </c>
      <c r="J14" s="35" t="n">
        <f aca="false">IFERROR(D14/D$5,"-")</f>
        <v>0.910939059536482</v>
      </c>
      <c r="K14" s="35" t="n">
        <f aca="false">IFERROR(E14/E$5,"-")</f>
        <v>0.888106797149843</v>
      </c>
      <c r="L14" s="35" t="n">
        <f aca="false">IFERROR(F14/F$5,"-")</f>
        <v>0.878673678385063</v>
      </c>
      <c r="M14" s="35" t="n">
        <f aca="false">IFERROR(G14/G$5,"-")</f>
        <v>0.896922562328767</v>
      </c>
    </row>
    <row r="16" customFormat="false" ht="15" hidden="false" customHeight="true" outlineLevel="0" collapsed="false">
      <c r="A16" s="26" t="s">
        <v>58</v>
      </c>
      <c r="C16" s="36" t="n">
        <f aca="false">C5-C14</f>
        <v>54648</v>
      </c>
      <c r="D16" s="36" t="n">
        <f aca="false">D5-D14</f>
        <v>104667</v>
      </c>
      <c r="E16" s="36" t="n">
        <f aca="false">E5-E14</f>
        <v>157694</v>
      </c>
      <c r="F16" s="36" t="n">
        <f aca="false">F5-F14</f>
        <v>185469</v>
      </c>
      <c r="G16" s="36" t="n">
        <f aca="false">G5-G14</f>
        <v>188906</v>
      </c>
      <c r="I16" s="35" t="n">
        <f aca="false">IFERROR(C16/C$5,"-")</f>
        <v>0.0618920988135309</v>
      </c>
      <c r="J16" s="35" t="n">
        <f aca="false">IFERROR(D16/D$5,"-")</f>
        <v>0.0890609404635182</v>
      </c>
      <c r="K16" s="35" t="n">
        <f aca="false">IFERROR(E16/E$5,"-")</f>
        <v>0.111893202850157</v>
      </c>
      <c r="L16" s="35" t="n">
        <f aca="false">IFERROR(F16/F$5,"-")</f>
        <v>0.121326321614937</v>
      </c>
      <c r="M16" s="35" t="n">
        <f aca="false">IFERROR(G16/G$5,"-")</f>
        <v>0.103077437671233</v>
      </c>
    </row>
    <row r="18" customFormat="false" ht="15" hidden="false" customHeight="true" outlineLevel="0" collapsed="false">
      <c r="A18" s="28" t="s">
        <v>59</v>
      </c>
      <c r="C18" s="27" t="n">
        <v>27865</v>
      </c>
      <c r="D18" s="27" t="n">
        <v>28233</v>
      </c>
      <c r="E18" s="27" t="n">
        <v>30223</v>
      </c>
      <c r="F18" s="27" t="n">
        <v>56070</v>
      </c>
      <c r="G18" s="27" t="n">
        <v>67405</v>
      </c>
      <c r="I18" s="35" t="n">
        <f aca="false">IFERROR(C18/C$5,"-")</f>
        <v>0.0315587639701186</v>
      </c>
      <c r="J18" s="35" t="n">
        <f aca="false">IFERROR(D18/D$5,"-")</f>
        <v>0.02402340309846</v>
      </c>
      <c r="K18" s="35" t="n">
        <f aca="false">IFERROR(E18/E$5,"-")</f>
        <v>0.021445002788567</v>
      </c>
      <c r="L18" s="35" t="n">
        <f aca="false">IFERROR(F18/F$5,"-")</f>
        <v>0.036678727188638</v>
      </c>
      <c r="M18" s="35" t="n">
        <f aca="false">IFERROR(G18/G$5,"-")</f>
        <v>0.0367798518111096</v>
      </c>
    </row>
    <row r="19" customFormat="false" ht="15" hidden="false" customHeight="true" outlineLevel="0" collapsed="false">
      <c r="A19" s="28" t="s">
        <v>29</v>
      </c>
      <c r="C19" s="27" t="n">
        <v>1259</v>
      </c>
      <c r="D19" s="27" t="n">
        <v>1866</v>
      </c>
      <c r="E19" s="27" t="n">
        <v>1932</v>
      </c>
      <c r="F19" s="27" t="n">
        <v>1942</v>
      </c>
      <c r="G19" s="27" t="n">
        <v>2387</v>
      </c>
    </row>
    <row r="21" customFormat="false" ht="15" hidden="false" customHeight="true" outlineLevel="0" collapsed="false">
      <c r="A21" s="26" t="s">
        <v>60</v>
      </c>
      <c r="C21" s="36" t="n">
        <f aca="false">C16-C18-C19</f>
        <v>25524</v>
      </c>
      <c r="D21" s="36" t="n">
        <f aca="false">D16-D18-D19</f>
        <v>74568</v>
      </c>
      <c r="E21" s="36" t="n">
        <f aca="false">E16-E18-E19</f>
        <v>125539</v>
      </c>
      <c r="F21" s="36" t="n">
        <f aca="false">F16-F18-F19</f>
        <v>127457</v>
      </c>
      <c r="G21" s="36" t="n">
        <f aca="false">G16-G18-G19</f>
        <v>119114</v>
      </c>
      <c r="I21" s="35" t="n">
        <f aca="false">IFERROR(C21/C$5,"-")</f>
        <v>0.0289074427264779</v>
      </c>
      <c r="J21" s="35" t="n">
        <f aca="false">IFERROR(D21/D$5,"-")</f>
        <v>0.0634497617060165</v>
      </c>
      <c r="K21" s="35" t="n">
        <f aca="false">IFERROR(E21/E$5,"-")</f>
        <v>0.0890773320012545</v>
      </c>
      <c r="L21" s="35" t="n">
        <f aca="false">IFERROR(F21/F$5,"-")</f>
        <v>0.083377216537939</v>
      </c>
      <c r="M21" s="35" t="n">
        <f aca="false">IFERROR(G21/G$5,"-")</f>
        <v>0.0649951082060458</v>
      </c>
    </row>
    <row r="23" customFormat="false" ht="15" hidden="false" customHeight="true" outlineLevel="0" collapsed="false">
      <c r="A23" s="26" t="s">
        <v>61</v>
      </c>
      <c r="C23" s="36" t="n">
        <f aca="false">C21+C6</f>
        <v>43459</v>
      </c>
      <c r="D23" s="36" t="n">
        <f aca="false">D21+D6</f>
        <v>96181</v>
      </c>
      <c r="E23" s="36" t="n">
        <f aca="false">E21+E6</f>
        <v>164087</v>
      </c>
      <c r="F23" s="36" t="n">
        <f aca="false">F21+F6</f>
        <v>178104</v>
      </c>
      <c r="G23" s="36" t="n">
        <f aca="false">G21+G6</f>
        <v>163033</v>
      </c>
      <c r="I23" s="35" t="n">
        <f aca="false">IFERROR(C23/C$5,"-")</f>
        <v>0.04921989317701</v>
      </c>
      <c r="J23" s="35" t="n">
        <f aca="false">IFERROR(D23/D$5,"-")</f>
        <v>0.0818402200762575</v>
      </c>
      <c r="K23" s="35" t="n">
        <f aca="false">IFERROR(E23/E$5,"-")</f>
        <v>0.116429413776514</v>
      </c>
      <c r="L23" s="35" t="n">
        <f aca="false">IFERROR(F23/F$5,"-")</f>
        <v>0.116508436368917</v>
      </c>
      <c r="M23" s="35" t="n">
        <f aca="false">IFERROR(G23/G$5,"-")</f>
        <v>0.0889597148627051</v>
      </c>
    </row>
    <row r="25" customFormat="false" ht="15" hidden="false" customHeight="true" outlineLevel="0" collapsed="false">
      <c r="A25" s="28" t="s">
        <v>35</v>
      </c>
      <c r="C25" s="29" t="n">
        <v>8160</v>
      </c>
      <c r="D25" s="27" t="n">
        <v>21099</v>
      </c>
      <c r="E25" s="27" t="n">
        <v>38310</v>
      </c>
      <c r="F25" s="27" t="n">
        <v>51151</v>
      </c>
      <c r="G25" s="27" t="n">
        <v>44175</v>
      </c>
    </row>
    <row r="27" customFormat="false" ht="15" hidden="false" customHeight="true" outlineLevel="0" collapsed="false">
      <c r="A27" s="26" t="s">
        <v>62</v>
      </c>
      <c r="C27" s="36" t="n">
        <f aca="false">C23-C25</f>
        <v>35299</v>
      </c>
      <c r="D27" s="36" t="n">
        <f aca="false">D23-D25</f>
        <v>75082</v>
      </c>
      <c r="E27" s="36" t="n">
        <f aca="false">E23-E25</f>
        <v>125777</v>
      </c>
      <c r="F27" s="36" t="n">
        <f aca="false">F23-F25</f>
        <v>126953</v>
      </c>
      <c r="G27" s="36" t="n">
        <f aca="false">G23-G25</f>
        <v>118858</v>
      </c>
      <c r="I27" s="35" t="n">
        <f aca="false">IFERROR(C27/C$5,"-")</f>
        <v>0.0399782095597063</v>
      </c>
      <c r="J27" s="35" t="n">
        <f aca="false">IFERROR(D27/D$5,"-")</f>
        <v>0.0638871232755489</v>
      </c>
      <c r="K27" s="35" t="n">
        <f aca="false">IFERROR(E27/E$5,"-")</f>
        <v>0.0892462070521654</v>
      </c>
      <c r="L27" s="35" t="n">
        <f aca="false">IFERROR(F27/F$5,"-")</f>
        <v>0.0830475201137714</v>
      </c>
      <c r="M27" s="35" t="n">
        <f aca="false">IFERROR(G27/G$5,"-")</f>
        <v>0.0648554206151601</v>
      </c>
    </row>
    <row r="30" customFormat="false" ht="15" hidden="false" customHeight="true" outlineLevel="0" collapsed="false">
      <c r="A30" s="37" t="s">
        <v>63</v>
      </c>
      <c r="C30" s="37"/>
      <c r="D30" s="37"/>
      <c r="E30" s="37"/>
      <c r="F30" s="37"/>
      <c r="G30" s="37"/>
    </row>
    <row r="31" customFormat="false" ht="15" hidden="false" customHeight="true" outlineLevel="0" collapsed="false">
      <c r="A31" s="28" t="s">
        <v>64</v>
      </c>
      <c r="C31" s="31" t="s">
        <v>49</v>
      </c>
      <c r="D31" s="32" t="n">
        <f aca="false">IFERROR(D5/C5-1,"-")</f>
        <v>0.331016494593162</v>
      </c>
      <c r="E31" s="32" t="n">
        <f aca="false">IFERROR(E5/D5-1,"-")</f>
        <v>0.199192667982155</v>
      </c>
      <c r="F31" s="32" t="n">
        <f aca="false">IFERROR(F5/E5-1,"-")</f>
        <v>0.0846879997956469</v>
      </c>
      <c r="G31" s="32" t="n">
        <f aca="false">IFERROR(G5/F5-1,"-")</f>
        <v>0.198852734943046</v>
      </c>
    </row>
    <row r="32" customFormat="false" ht="15" hidden="false" customHeight="true" outlineLevel="0" collapsed="false">
      <c r="A32" s="28" t="s">
        <v>65</v>
      </c>
      <c r="C32" s="31" t="s">
        <v>49</v>
      </c>
      <c r="D32" s="32" t="n">
        <f aca="false">IFERROR(D16/C16-1,"-")</f>
        <v>0.915294246815986</v>
      </c>
      <c r="E32" s="32" t="n">
        <f aca="false">IFERROR(E16/D16-1,"-")</f>
        <v>0.50662577507715</v>
      </c>
      <c r="F32" s="32" t="n">
        <f aca="false">IFERROR(F16/E16-1,"-")</f>
        <v>0.176132256141641</v>
      </c>
      <c r="G32" s="32" t="n">
        <f aca="false">IFERROR(G16/F16-1,"-")</f>
        <v>0.0185313987782325</v>
      </c>
    </row>
    <row r="33" customFormat="false" ht="15" hidden="false" customHeight="true" outlineLevel="0" collapsed="false">
      <c r="A33" s="28" t="s">
        <v>66</v>
      </c>
      <c r="C33" s="31" t="s">
        <v>49</v>
      </c>
      <c r="D33" s="32" t="n">
        <f aca="false">IFERROR(D27/C27-1,"-")</f>
        <v>1.12702909430862</v>
      </c>
      <c r="E33" s="32" t="n">
        <f aca="false">IFERROR(E27/D27-1,"-")</f>
        <v>0.675195120002131</v>
      </c>
      <c r="F33" s="32" t="n">
        <f aca="false">IFERROR(F27/E27-1,"-")</f>
        <v>0.00934988113884105</v>
      </c>
      <c r="G33" s="32" t="n">
        <f aca="false">IFERROR(G27/F27-1,"-")</f>
        <v>-0.0637637550904665</v>
      </c>
    </row>
    <row r="35" customFormat="false" ht="15" hidden="false" customHeight="true" outlineLevel="0" collapsed="false">
      <c r="A35" s="21"/>
    </row>
    <row r="36" customFormat="false" ht="15" hidden="false" customHeight="true" outlineLevel="0" collapsed="false">
      <c r="A36" s="21"/>
    </row>
    <row r="37" customFormat="false" ht="15" hidden="false" customHeight="false" outlineLevel="0" collapsed="false">
      <c r="A37" s="21"/>
    </row>
    <row r="38" customFormat="false" ht="15" hidden="false" customHeight="true" outlineLevel="0" collapsed="false">
      <c r="A38" s="21"/>
    </row>
    <row r="39" customFormat="false" ht="15" hidden="false" customHeight="true" outlineLevel="0" collapsed="false">
      <c r="A39" s="21"/>
    </row>
    <row r="40" customFormat="false" ht="15" hidden="false" customHeight="true" outlineLevel="0" collapsed="false">
      <c r="A40" s="21"/>
    </row>
    <row r="41" customFormat="false" ht="15" hidden="false" customHeight="true" outlineLevel="0" collapsed="false">
      <c r="A41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.77"/>
    <col collapsed="false" customWidth="true" hidden="false" outlineLevel="0" max="2" min="2" style="0" width="134.56"/>
    <col collapsed="false" customWidth="true" hidden="false" outlineLevel="0" max="3" min="3" style="0" width="30"/>
  </cols>
  <sheetData>
    <row r="1" customFormat="false" ht="17.25" hidden="false" customHeight="true" outlineLevel="0" collapsed="false">
      <c r="A1" s="22" t="s">
        <v>67</v>
      </c>
    </row>
    <row r="2" customFormat="false" ht="15" hidden="false" customHeight="true" outlineLevel="0" collapsed="false"/>
    <row r="4" customFormat="false" ht="15" hidden="false" customHeight="true" outlineLevel="0" collapsed="false">
      <c r="A4" s="24" t="s">
        <v>42</v>
      </c>
      <c r="B4" s="24" t="s">
        <v>68</v>
      </c>
    </row>
    <row r="5" customFormat="false" ht="15" hidden="false" customHeight="true" outlineLevel="0" collapsed="false">
      <c r="A5" s="28" t="s">
        <v>69</v>
      </c>
      <c r="B5" s="28" t="s">
        <v>70</v>
      </c>
    </row>
    <row r="6" customFormat="false" ht="15" hidden="false" customHeight="true" outlineLevel="0" collapsed="false">
      <c r="A6" s="28" t="s">
        <v>71</v>
      </c>
      <c r="B6" s="28" t="s">
        <v>72</v>
      </c>
    </row>
    <row r="7" customFormat="false" ht="15" hidden="false" customHeight="true" outlineLevel="0" collapsed="false">
      <c r="A7" s="28" t="s">
        <v>73</v>
      </c>
      <c r="B7" s="28" t="s">
        <v>74</v>
      </c>
    </row>
    <row r="8" customFormat="false" ht="15" hidden="false" customHeight="true" outlineLevel="0" collapsed="false">
      <c r="A8" s="28" t="s">
        <v>75</v>
      </c>
      <c r="B8" s="28" t="s">
        <v>76</v>
      </c>
    </row>
    <row r="11" customFormat="false" ht="15" hidden="false" customHeight="true" outlineLevel="0" collapsed="false">
      <c r="A11" s="38" t="s">
        <v>77</v>
      </c>
    </row>
    <row r="12" customFormat="false" ht="39" hidden="false" customHeight="true" outlineLevel="0" collapsed="false">
      <c r="A12" s="39" t="s">
        <v>78</v>
      </c>
      <c r="B12" s="40" t="s">
        <v>79</v>
      </c>
    </row>
    <row r="14" customFormat="false" ht="139.5" hidden="false" customHeight="true" outlineLevel="0" collapsed="false">
      <c r="A14" s="39" t="s">
        <v>80</v>
      </c>
      <c r="B14" s="40" t="s">
        <v>81</v>
      </c>
    </row>
    <row r="16" customFormat="false" ht="66" hidden="false" customHeight="true" outlineLevel="0" collapsed="false">
      <c r="A16" s="39" t="s">
        <v>82</v>
      </c>
      <c r="B16" s="4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7.22"/>
    <col collapsed="false" customWidth="true" hidden="false" outlineLevel="0" max="3" min="3" style="0" width="12.33"/>
    <col collapsed="false" customWidth="true" hidden="false" outlineLevel="0" max="4" min="4" style="0" width="11.56"/>
    <col collapsed="false" customWidth="true" hidden="false" outlineLevel="0" max="5" min="5" style="0" width="14.33"/>
    <col collapsed="false" customWidth="true" hidden="false" outlineLevel="0" max="6" min="6" style="0" width="14.44"/>
  </cols>
  <sheetData>
    <row r="1" customFormat="false" ht="16.5" hidden="false" customHeight="true" outlineLevel="0" collapsed="false">
      <c r="A1" s="41" t="s">
        <v>84</v>
      </c>
      <c r="B1" s="41"/>
      <c r="C1" s="41"/>
      <c r="D1" s="41"/>
      <c r="E1" s="41"/>
      <c r="F1" s="41"/>
    </row>
    <row r="2" customFormat="false" ht="15" hidden="false" customHeight="false" outlineLevel="0" collapsed="false">
      <c r="A2" s="42" t="s">
        <v>85</v>
      </c>
      <c r="B2" s="42"/>
      <c r="C2" s="42"/>
      <c r="D2" s="42"/>
      <c r="E2" s="42"/>
      <c r="F2" s="42"/>
    </row>
    <row r="4" customFormat="false" ht="27.75" hidden="false" customHeight="true" outlineLevel="0" collapsed="false">
      <c r="A4" s="43" t="s">
        <v>86</v>
      </c>
      <c r="B4" s="43" t="s">
        <v>87</v>
      </c>
      <c r="C4" s="43" t="s">
        <v>88</v>
      </c>
      <c r="D4" s="43" t="s">
        <v>89</v>
      </c>
      <c r="E4" s="43" t="s">
        <v>90</v>
      </c>
      <c r="F4" s="43" t="s">
        <v>91</v>
      </c>
    </row>
    <row r="5" customFormat="false" ht="15" hidden="false" customHeight="false" outlineLevel="0" collapsed="false">
      <c r="A5" s="44" t="s">
        <v>92</v>
      </c>
      <c r="B5" s="45" t="n">
        <v>13520</v>
      </c>
      <c r="C5" s="45" t="n">
        <v>475</v>
      </c>
      <c r="D5" s="45" t="n">
        <v>3418</v>
      </c>
      <c r="E5" s="45" t="n">
        <v>2018.6</v>
      </c>
      <c r="F5" s="44"/>
    </row>
    <row r="6" customFormat="false" ht="15" hidden="false" customHeight="false" outlineLevel="0" collapsed="false">
      <c r="A6" s="44" t="s">
        <v>93</v>
      </c>
      <c r="B6" s="46" t="n">
        <v>314.4</v>
      </c>
      <c r="C6" s="45" t="n">
        <v>3705</v>
      </c>
      <c r="D6" s="45" t="n">
        <v>1201</v>
      </c>
      <c r="E6" s="45" t="n">
        <v>812.5</v>
      </c>
      <c r="F6" s="44"/>
    </row>
    <row r="7" customFormat="false" ht="15" hidden="false" customHeight="false" outlineLevel="0" collapsed="false">
      <c r="A7" s="47" t="s">
        <v>94</v>
      </c>
      <c r="B7" s="48" t="n">
        <f aca="false">B5*B6</f>
        <v>4250688</v>
      </c>
      <c r="C7" s="48" t="n">
        <f aca="false">C5*C6</f>
        <v>1759875</v>
      </c>
      <c r="D7" s="48" t="n">
        <f aca="false">D5*D6</f>
        <v>4105018</v>
      </c>
      <c r="E7" s="48" t="n">
        <f aca="false">E5*E6</f>
        <v>1640112.5</v>
      </c>
      <c r="F7" s="44"/>
    </row>
    <row r="8" customFormat="false" ht="15" hidden="false" customHeight="false" outlineLevel="0" collapsed="false">
      <c r="A8" s="44" t="s">
        <v>95</v>
      </c>
      <c r="B8" s="45" t="n">
        <v>-55000</v>
      </c>
      <c r="C8" s="45" t="n">
        <v>1080000</v>
      </c>
      <c r="D8" s="45" t="n">
        <v>500000</v>
      </c>
      <c r="E8" s="45" t="n">
        <v>-100000</v>
      </c>
      <c r="F8" s="44"/>
    </row>
    <row r="9" customFormat="false" ht="15" hidden="false" customHeight="false" outlineLevel="0" collapsed="false">
      <c r="A9" s="47" t="s">
        <v>96</v>
      </c>
      <c r="B9" s="48" t="n">
        <f aca="false">B7+B8</f>
        <v>4195688</v>
      </c>
      <c r="C9" s="48" t="n">
        <f aca="false">C7+C8</f>
        <v>2839875</v>
      </c>
      <c r="D9" s="48" t="n">
        <f aca="false">D7+D8</f>
        <v>4605018</v>
      </c>
      <c r="E9" s="48" t="n">
        <f aca="false">E7+E8</f>
        <v>1540112.5</v>
      </c>
      <c r="F9" s="44"/>
    </row>
    <row r="10" customFormat="false" ht="15" hidden="false" customHeight="false" outlineLevel="0" collapsed="false">
      <c r="A10" s="44" t="s">
        <v>97</v>
      </c>
      <c r="B10" s="45" t="n">
        <v>214502</v>
      </c>
      <c r="C10" s="45" t="n">
        <v>87410</v>
      </c>
      <c r="D10" s="45" t="n">
        <v>230000</v>
      </c>
      <c r="E10" s="45" t="n">
        <v>89410</v>
      </c>
      <c r="F10" s="44"/>
    </row>
    <row r="11" customFormat="false" ht="15" hidden="false" customHeight="false" outlineLevel="0" collapsed="false">
      <c r="A11" s="44" t="s">
        <v>98</v>
      </c>
      <c r="B11" s="45" t="n">
        <v>459</v>
      </c>
      <c r="C11" s="45" t="n">
        <v>8.23</v>
      </c>
      <c r="D11" s="45" t="n">
        <v>124.7</v>
      </c>
      <c r="E11" s="45" t="n">
        <v>69.4</v>
      </c>
      <c r="F11" s="44"/>
    </row>
    <row r="12" customFormat="false" ht="15" hidden="false" customHeight="false" outlineLevel="0" collapsed="false">
      <c r="A12" s="47" t="s">
        <v>99</v>
      </c>
      <c r="B12" s="49" t="n">
        <f aca="false">IFERROR(B5/B11,"-")</f>
        <v>29.4553376906318</v>
      </c>
      <c r="C12" s="49" t="n">
        <f aca="false">IFERROR(C5/C11,"-")</f>
        <v>57.7156743620899</v>
      </c>
      <c r="D12" s="49" t="n">
        <f aca="false">IFERROR(D5/D11,"-")</f>
        <v>27.4097834803528</v>
      </c>
      <c r="E12" s="49" t="n">
        <f aca="false">IFERROR(E5/E11,"-")</f>
        <v>29.0864553314121</v>
      </c>
      <c r="F12" s="49" t="n">
        <f aca="false">IFERROR(AVERAGE(C12:E12),"-")</f>
        <v>38.0706377246183</v>
      </c>
    </row>
    <row r="13" customFormat="false" ht="15" hidden="false" customHeight="false" outlineLevel="0" collapsed="false">
      <c r="A13" s="47" t="s">
        <v>100</v>
      </c>
      <c r="B13" s="49" t="n">
        <f aca="false">IFERROR(B9/B10,"-")</f>
        <v>19.5601346374393</v>
      </c>
      <c r="C13" s="49" t="n">
        <f aca="false">IFERROR(C9/C10,"-")</f>
        <v>32.4891316782977</v>
      </c>
      <c r="D13" s="49" t="n">
        <f aca="false">IFERROR(D9/D10,"-")</f>
        <v>20.0218173913044</v>
      </c>
      <c r="E13" s="49" t="n">
        <f aca="false">IFERROR(E9/E10,"-")</f>
        <v>17.2252824068896</v>
      </c>
      <c r="F13" s="49" t="n">
        <f aca="false">IFERROR(AVERAGE(C13:E13),"-")</f>
        <v>23.2454104921639</v>
      </c>
    </row>
    <row r="16" customFormat="false" ht="15" hidden="false" customHeight="false" outlineLevel="0" collapsed="false">
      <c r="A16" s="50" t="s">
        <v>101</v>
      </c>
    </row>
    <row r="17" customFormat="false" ht="15" hidden="false" customHeight="false" outlineLevel="0" collapsed="false">
      <c r="A17" s="50" t="s">
        <v>102</v>
      </c>
      <c r="B17" s="50" t="s">
        <v>103</v>
      </c>
    </row>
    <row r="18" customFormat="false" ht="15" hidden="false" customHeight="false" outlineLevel="0" collapsed="false">
      <c r="A18" s="44" t="s">
        <v>104</v>
      </c>
      <c r="B18" s="51" t="n">
        <f aca="false">IFERROR(F12*B11,"-")</f>
        <v>17474.4227155998</v>
      </c>
    </row>
    <row r="19" customFormat="false" ht="15" hidden="false" customHeight="false" outlineLevel="0" collapsed="false">
      <c r="A19" s="44" t="s">
        <v>105</v>
      </c>
      <c r="B19" s="51" t="n">
        <f aca="false">IFERROR((F13*B10-B8)/B6,"-")</f>
        <v>16034.3099280857</v>
      </c>
      <c r="C19" s="5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.66"/>
    <col collapsed="false" customWidth="true" hidden="false" outlineLevel="0" max="2" min="2" style="0" width="131.22"/>
  </cols>
  <sheetData>
    <row r="1" customFormat="false" ht="15" hidden="false" customHeight="true" outlineLevel="0" collapsed="false">
      <c r="A1" s="53" t="s">
        <v>106</v>
      </c>
    </row>
    <row r="3" customFormat="false" ht="15" hidden="false" customHeight="false" outlineLevel="0" collapsed="false">
      <c r="A3" s="50" t="s">
        <v>107</v>
      </c>
      <c r="B3" s="54" t="s">
        <v>108</v>
      </c>
    </row>
    <row r="4" customFormat="false" ht="15" hidden="false" customHeight="false" outlineLevel="0" collapsed="false">
      <c r="A4" s="50" t="s">
        <v>109</v>
      </c>
      <c r="B4" s="54" t="s">
        <v>110</v>
      </c>
    </row>
    <row r="5" customFormat="false" ht="15" hidden="false" customHeight="false" outlineLevel="0" collapsed="false">
      <c r="A5" s="50" t="s">
        <v>111</v>
      </c>
      <c r="B5" s="54" t="s">
        <v>112</v>
      </c>
    </row>
    <row r="6" customFormat="false" ht="15" hidden="false" customHeight="false" outlineLevel="0" collapsed="false">
      <c r="A6" s="50" t="s">
        <v>113</v>
      </c>
      <c r="B6" s="54" t="s">
        <v>114</v>
      </c>
    </row>
    <row r="7" customFormat="false" ht="15" hidden="false" customHeight="false" outlineLevel="0" collapsed="false">
      <c r="A7" s="50" t="s">
        <v>115</v>
      </c>
      <c r="B7" s="54" t="s">
        <v>116</v>
      </c>
    </row>
    <row r="9" customFormat="false" ht="15" hidden="false" customHeight="false" outlineLevel="0" collapsed="false">
      <c r="A9" s="0" t="s">
        <v>117</v>
      </c>
    </row>
    <row r="10" customFormat="false" ht="15" hidden="false" customHeight="false" outlineLevel="0" collapsed="false">
      <c r="A10" s="0" t="s">
        <v>118</v>
      </c>
      <c r="B10" s="0" t="s">
        <v>119</v>
      </c>
    </row>
    <row r="11" customFormat="false" ht="15" hidden="false" customHeight="false" outlineLevel="0" collapsed="false">
      <c r="A11" s="0" t="s">
        <v>88</v>
      </c>
      <c r="B11" s="0" t="s">
        <v>120</v>
      </c>
    </row>
    <row r="12" customFormat="false" ht="28.5" hidden="false" customHeight="true" outlineLevel="0" collapsed="false">
      <c r="A12" s="0" t="s">
        <v>89</v>
      </c>
      <c r="B12" s="55" t="s">
        <v>121</v>
      </c>
    </row>
    <row r="13" customFormat="false" ht="15" hidden="false" customHeight="false" outlineLevel="0" collapsed="false">
      <c r="A13" s="0" t="s">
        <v>122</v>
      </c>
      <c r="B13" s="0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2026-08-27T20:23:00Z</dcterms:created>
  <dc:creator>openpyxl</dc:creator>
  <dc:description/>
  <dc:language>en-US</dc:language>
  <cp:lastModifiedBy/>
  <dcterms:modified xsi:type="dcterms:W3CDTF">2026-08-27T20:23:00Z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