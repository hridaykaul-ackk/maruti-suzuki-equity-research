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rida\Downloads\"/>
    </mc:Choice>
  </mc:AlternateContent>
  <xr:revisionPtr revIDLastSave="0" documentId="13_ncr:1_{92E57D47-3E5D-4635-9777-3E41685FEE4B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00_Legend" sheetId="1" r:id="rId1"/>
    <sheet name="01_Volume_ASP" sheetId="2" r:id="rId2"/>
    <sheet name="02_Margin_Waterfall" sheetId="3" r:id="rId3"/>
    <sheet name="03_Notes_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3" l="1"/>
  <c r="G31" i="3" l="1"/>
  <c r="F31" i="3"/>
  <c r="E31" i="3"/>
  <c r="D31" i="3"/>
  <c r="M18" i="3"/>
  <c r="L18" i="3"/>
  <c r="K18" i="3"/>
  <c r="J18" i="3"/>
  <c r="I18" i="3"/>
  <c r="G14" i="3"/>
  <c r="G16" i="3" s="1"/>
  <c r="F14" i="3"/>
  <c r="F16" i="3" s="1"/>
  <c r="E14" i="3"/>
  <c r="E16" i="3" s="1"/>
  <c r="D14" i="3"/>
  <c r="D16" i="3" s="1"/>
  <c r="C14" i="3"/>
  <c r="C16" i="3" s="1"/>
  <c r="G7" i="3"/>
  <c r="F7" i="3"/>
  <c r="E7" i="3"/>
  <c r="D7" i="3"/>
  <c r="C7" i="3"/>
  <c r="M5" i="3"/>
  <c r="L5" i="3"/>
  <c r="K5" i="3"/>
  <c r="J5" i="3"/>
  <c r="G17" i="2"/>
  <c r="F17" i="2"/>
  <c r="E17" i="2"/>
  <c r="D17" i="2"/>
  <c r="G15" i="2"/>
  <c r="F15" i="2"/>
  <c r="E15" i="2"/>
  <c r="D15" i="2"/>
  <c r="E13" i="2"/>
  <c r="D13" i="2"/>
  <c r="G11" i="2"/>
  <c r="G13" i="2" s="1"/>
  <c r="F11" i="2"/>
  <c r="F13" i="2" s="1"/>
  <c r="E11" i="2"/>
  <c r="D11" i="2"/>
  <c r="C11" i="2"/>
  <c r="C21" i="3" l="1"/>
  <c r="I16" i="3"/>
  <c r="E32" i="3"/>
  <c r="E21" i="3"/>
  <c r="K16" i="3"/>
  <c r="F32" i="3"/>
  <c r="L16" i="3"/>
  <c r="F21" i="3"/>
  <c r="G32" i="3"/>
  <c r="M16" i="3"/>
  <c r="G21" i="3"/>
  <c r="D21" i="3"/>
  <c r="D32" i="3"/>
  <c r="J16" i="3"/>
  <c r="I14" i="3"/>
  <c r="J14" i="3"/>
  <c r="K14" i="3"/>
  <c r="L14" i="3"/>
  <c r="M14" i="3"/>
  <c r="D23" i="3" l="1"/>
  <c r="J21" i="3"/>
  <c r="F23" i="3"/>
  <c r="L21" i="3"/>
  <c r="E23" i="3"/>
  <c r="K21" i="3"/>
  <c r="M21" i="3"/>
  <c r="G23" i="3"/>
  <c r="C23" i="3"/>
  <c r="I21" i="3"/>
  <c r="C27" i="3" l="1"/>
  <c r="I27" i="3" s="1"/>
  <c r="I23" i="3"/>
  <c r="E27" i="3"/>
  <c r="K23" i="3"/>
  <c r="F27" i="3"/>
  <c r="L23" i="3"/>
  <c r="G27" i="3"/>
  <c r="M23" i="3"/>
  <c r="D27" i="3"/>
  <c r="J23" i="3"/>
  <c r="G33" i="3" l="1"/>
  <c r="M27" i="3"/>
  <c r="E33" i="3"/>
  <c r="K27" i="3"/>
  <c r="D33" i="3"/>
  <c r="J27" i="3"/>
  <c r="F33" i="3"/>
  <c r="L2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100-000001000000}">
      <text>
        <r>
          <rPr>
            <sz val="10"/>
            <rFont val="Arial"/>
            <family val="2"/>
          </rPr>
          <t>Source: 'Volumes (Nos.)' row, Abridged Profit &amp; Loss Account, each year's Annual Integrated Report.</t>
        </r>
      </text>
    </comment>
    <comment ref="A9" authorId="0" shapeId="0" xr:uid="{00000000-0006-0000-0100-000002000000}">
      <text>
        <r>
          <rPr>
            <sz val="10"/>
            <rFont val="Arial"/>
            <family val="2"/>
          </rPr>
          <t>Link this row to your Stage 2 '03_Revenue_Profitability' or historicals tab if you'd rather pull automatically, e.g. ='02_Historicals'!C5</t>
        </r>
      </text>
    </comment>
    <comment ref="C9" authorId="0" shapeId="0" xr:uid="{00000000-0006-0000-0100-000004000000}">
      <text>
        <r>
          <rPr>
            <sz val="10"/>
            <rFont val="Arial"/>
            <family val="2"/>
          </rPr>
          <t>Sourced from Maruti FY2022-23 Annual Report, prior-year comparison column (same figure used in Stage 2).</t>
        </r>
      </text>
    </comment>
    <comment ref="A11" authorId="0" shapeId="0" xr:uid="{00000000-0006-0000-0100-000003000000}">
      <text>
        <r>
          <rPr>
            <sz val="10"/>
            <rFont val="Arial"/>
            <family val="2"/>
          </rPr>
          <t>ASP = Revenue from operations / Total vehicles sold. Rising ASP can mean price hikes OR a mix shift toward higher-priced models (SUVs) -- check both before concluding.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200-000001000000}">
      <text>
        <r>
          <rPr>
            <sz val="10"/>
            <rFont val="Arial"/>
            <family val="2"/>
          </rPr>
          <t>Sourced. FY22 from Maruti FY2022-23 Annual Report (matches Stage 2 and 01_Volume_ASP tab).</t>
        </r>
      </text>
    </comment>
    <comment ref="A6" authorId="0" shapeId="0" xr:uid="{00000000-0006-0000-0200-000002000000}">
      <text>
        <r>
          <rPr>
            <sz val="10"/>
            <rFont val="Arial"/>
            <family val="2"/>
          </rPr>
          <t>Sourced from P&amp;L. FY22 = 17,935 (per Stage 2).</t>
        </r>
      </text>
    </comment>
    <comment ref="A11" authorId="0" shapeId="0" xr:uid="{00000000-0006-0000-0200-000003000000}">
      <text>
        <r>
          <rPr>
            <sz val="10"/>
            <rFont val="Arial"/>
            <family val="2"/>
          </rPr>
          <t>Fully sourced across FY22-FY26 per your Stage 2 review: 263,905 / 399,772 / 551,099 / 213,927 / 231,741. Known to swing sharply -- flagged as an open MD&amp;A question.</t>
        </r>
      </text>
    </comment>
    <comment ref="A23" authorId="0" shapeId="0" xr:uid="{00000000-0006-0000-0200-000004000000}">
      <text>
        <r>
          <rPr>
            <sz val="10"/>
            <rFont val="Arial"/>
            <family val="2"/>
          </rPr>
          <t>Cross-check: PBT should also equal Total income (row 7) minus Total expenses. If it doesn't match your Stage 2 PBT figure, one of the input lines above is missing or mis-sourced.</t>
        </r>
      </text>
    </comment>
  </commentList>
</comments>
</file>

<file path=xl/sharedStrings.xml><?xml version="1.0" encoding="utf-8"?>
<sst xmlns="http://schemas.openxmlformats.org/spreadsheetml/2006/main" count="89" uniqueCount="73">
  <si>
    <t>Maruti Suzuki — Stage 3: Revenue &amp; Profitability Analysis</t>
  </si>
  <si>
    <t>HOW TO USE THIS WORKBOOK</t>
  </si>
  <si>
    <t>1. '01_Volume_ASP' tab — enter vehicles sold per year (from annual reports / investor presentations).</t>
  </si>
  <si>
    <t xml:space="preserve">   Revenue is already linked from your Stage 2 sheet where possible; ASP calculates automatically.</t>
  </si>
  <si>
    <t>2. '02_Margin_Waterfall' tab — FY22 is pre-filled from your Stage 2 data as an example. Fill FY23-FY26</t>
  </si>
  <si>
    <t xml:space="preserve">   yellow cells with each expense line from the P&amp;L notes in the FY23-FY26 annual reports.</t>
  </si>
  <si>
    <t>3. '03_Notes_Sources' tab — log where each number came from (report name, page, section) and your</t>
  </si>
  <si>
    <t xml:space="preserve">   narrative answer to: what's driving revenue, and which cost line is moving margin.</t>
  </si>
  <si>
    <t>COLOR KEY (same convention as your Stage 2 sheet)</t>
  </si>
  <si>
    <t xml:space="preserve">  Blue text        = hardcoded input, sourced directly from a document</t>
  </si>
  <si>
    <t xml:space="preserve">  Green (if used)   = linked from another sheet in this workbook</t>
  </si>
  <si>
    <t>WHAT 'DONE' LOOKS LIKE FOR STAGE 3</t>
  </si>
  <si>
    <t xml:space="preserve">  - All yellow cells filled with sourced figures and a citation in 03_Notes_Sources</t>
  </si>
  <si>
    <t xml:space="preserve">  - ASP trend visible across FY22-FY26 with one-line explanation of direction</t>
  </si>
  <si>
    <t xml:space="preserve">  - Margin waterfall showing which single cost line drove the biggest margin swing</t>
  </si>
  <si>
    <t xml:space="preserve">  - A written 4-6 sentence narrative tying revenue driver + margin driver together</t>
  </si>
  <si>
    <t>Maruti Suzuki — Volume &amp; Average Selling Price (ASP)</t>
  </si>
  <si>
    <t>Line item</t>
  </si>
  <si>
    <t>FY22</t>
  </si>
  <si>
    <t>FY23</t>
  </si>
  <si>
    <t>FY24</t>
  </si>
  <si>
    <t>FY25</t>
  </si>
  <si>
    <t>FY26</t>
  </si>
  <si>
    <t>Total vehicles sold (units)</t>
  </si>
  <si>
    <t xml:space="preserve">  of which: Domestic sales</t>
  </si>
  <si>
    <t xml:space="preserve">  of which: Exports</t>
  </si>
  <si>
    <t>Revenue from operations (₹ mn)</t>
  </si>
  <si>
    <t>Average Selling Price (₹ mn / unit)</t>
  </si>
  <si>
    <t>ASP YoY growth (%)</t>
  </si>
  <si>
    <t>n/a</t>
  </si>
  <si>
    <t>Revenue YoY growth (%)</t>
  </si>
  <si>
    <t>Volume YoY growth (%)</t>
  </si>
  <si>
    <t>Maruti Suzuki — Margin Waterfall (₹ mn and % of Revenue)</t>
  </si>
  <si>
    <t>Line item (₹ mn)</t>
  </si>
  <si>
    <t>Revenue from operations</t>
  </si>
  <si>
    <t>Other income</t>
  </si>
  <si>
    <t>Total income</t>
  </si>
  <si>
    <t>Less: Operating expenses</t>
  </si>
  <si>
    <t>Cost of materials consumed</t>
  </si>
  <si>
    <t>Purchases of stock-in-trade</t>
  </si>
  <si>
    <t>Employee benefit expense</t>
  </si>
  <si>
    <t>Other expenses</t>
  </si>
  <si>
    <t>Total operating expenses (ex D&amp;A, finance cost)</t>
  </si>
  <si>
    <t>EBITDA</t>
  </si>
  <si>
    <t>Depreciation &amp; amortisation</t>
  </si>
  <si>
    <t>Finance costs</t>
  </si>
  <si>
    <t>EBIT</t>
  </si>
  <si>
    <t>PBT (Profit before tax)</t>
  </si>
  <si>
    <t>Total tax expense</t>
  </si>
  <si>
    <t>PAT (Profit after tax)</t>
  </si>
  <si>
    <t>Year-over-year growth (%)</t>
  </si>
  <si>
    <t>Revenue growth</t>
  </si>
  <si>
    <t>EBITDA growth</t>
  </si>
  <si>
    <t>PAT growth</t>
  </si>
  <si>
    <t>Sources &amp; Narrative Log</t>
  </si>
  <si>
    <t>Source (report, page/section)</t>
  </si>
  <si>
    <t>Revenue FY22</t>
  </si>
  <si>
    <t>MSIL FY2022-23 Annual Report, Standalone P&amp;L, prior-year column</t>
  </si>
  <si>
    <t>Purchases of stock-in-trade FY22-FY26</t>
  </si>
  <si>
    <t>Stage 2 sheet (already sourced) -- cross-check vs FY24/FY25 MD&amp;A</t>
  </si>
  <si>
    <t>Vehicles sold, all years</t>
  </si>
  <si>
    <t>MSIL Annual Integrated Reports FY22-23 (FY22/FY23), FY23-24 (FY24/FY23 cross-check), FY25-26 (FY25/FY26) -- 'Volumes (Nos.)' row, Abridged Profit &amp; Loss Account</t>
  </si>
  <si>
    <t>Cost of materials, employee cost, D&amp;A, finance cost</t>
  </si>
  <si>
    <t>Standalone Statement of Profit and Loss, each year's Annual Integrated Report (already sourced in Stage 2 for FY25/FY26; FY22-FY24 sourced directly for this stage)</t>
  </si>
  <si>
    <t>Revenue driver (volume vs ASP):</t>
  </si>
  <si>
    <t>Revenue grew every year (FY22-FY26), but the ASP tab shows Revenue growth has consistently run ahead of Volume growth (e.g. FY26: revenue +19.9% vs volume +8.4%), meaning ASP/price-mix -- not units sold -- is the primary revenue driver. This is consistent with Maruti's push into higher-priced SUVs (Grand Vitara, Invicto, Victoris, Fronx) diluting its traditionally small-car-heavy mix.</t>
  </si>
  <si>
    <t>Biggest margin driver (which cost line):</t>
  </si>
  <si>
    <t>Cost of materials consumed as % of revenue: 45.0% (FY22) -&gt; 39.7% (FY23) -&gt; 32.6% (FY24) -&gt; 57.1% (FY25) -&gt; 60.9% (FY26). Margins actually EXPANDED FY22-FY24 (post-COVID/semiconductor-shortage recovery), then materials cost ratio jumped sharply and unusually in FY25 and kept rising in FY26 -- this, not a steady multi-year decline, is the real margin story. EBITDA margin peaked at 12.1% in FY25 then fell to 10.3% in FY26; PAT margin peaked 8.9% in FY24, fell to 8.3% (FY25) and 6.5% (FY26). Cross-checked all 5 years directly against each year's audited Standalone Statement of Profit and Loss (not notes pages, which had a PDF text-extraction column-merge artifact that briefly suggested a discrepancy -- resolved by going back to the primary full P&amp;L statement in each report). The FY24-&gt;FY25 jump in materials cost ratio is large enough that it should be investigated further in the MD&amp;A/commodity-cost commentary before finalizing this as your headline margin driver.</t>
  </si>
  <si>
    <t>Open question (stock-in-trade swing, MD&amp;A finding):</t>
  </si>
  <si>
    <t>Working hypothesis, NOT confirmed by an explicit MD&amp;A statement: Purchases of stock-in-trade rose sharply after the Sept-2022 launch of Grand Vitara (FY23) and the 2023 launch of Invicto (FY24) -- both built on a shared Suzuki-Toyota platform arrangement (the FY23-24 report explicitly references the Toyota Tsusho Group collaboration). The subsequent drop in FY25-FY26 is consistent with Maruti increasing in-house/localised production of these models over time, reducing reliance on externally sourced stock-in-trade. This is an inference from timing + context clues, not a number the company states directly -- flag this distinction if asked in an interview.</t>
  </si>
  <si>
    <t xml:space="preserve">  Black             = formula </t>
  </si>
  <si>
    <t xml:space="preserve">STAGE 3 NARRATIVE </t>
  </si>
  <si>
    <t>Figures in ₹ million unless noted. Revenue in ₹ crore ÷ 10 = ₹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</si>
</sst>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i/>
      <sz val="9"/>
      <color rgb="FF666666"/>
      <name val="Arial"/>
      <charset val="1"/>
    </font>
    <font>
      <b/>
      <sz val="11"/>
      <name val="Arial"/>
      <charset val="1"/>
    </font>
    <font>
      <sz val="10"/>
      <color theme="1"/>
      <name val="Arial"/>
      <family val="2"/>
    </font>
    <font>
      <i/>
      <sz val="10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6" fillId="3" borderId="1" xfId="0" applyNumberFormat="1" applyFont="1" applyFill="1" applyBorder="1"/>
    <xf numFmtId="0" fontId="3" fillId="0" borderId="1" xfId="0" applyFont="1" applyBorder="1"/>
    <xf numFmtId="164" fontId="7" fillId="0" borderId="1" xfId="0" applyNumberFormat="1" applyFont="1" applyBorder="1"/>
    <xf numFmtId="4" fontId="8" fillId="0" borderId="1" xfId="0" applyNumberFormat="1" applyFont="1" applyBorder="1"/>
    <xf numFmtId="0" fontId="9" fillId="0" borderId="1" xfId="0" applyFont="1" applyBorder="1"/>
    <xf numFmtId="165" fontId="8" fillId="0" borderId="1" xfId="0" applyNumberFormat="1" applyFont="1" applyBorder="1"/>
    <xf numFmtId="0" fontId="3" fillId="2" borderId="0" xfId="0" applyFont="1" applyFill="1"/>
    <xf numFmtId="165" fontId="3" fillId="0" borderId="1" xfId="0" applyNumberFormat="1" applyFont="1" applyBorder="1"/>
    <xf numFmtId="164" fontId="8" fillId="0" borderId="1" xfId="0" applyNumberFormat="1" applyFont="1" applyBorder="1"/>
    <xf numFmtId="0" fontId="4" fillId="4" borderId="1" xfId="0" applyFont="1" applyFill="1" applyBorder="1"/>
    <xf numFmtId="0" fontId="11" fillId="0" borderId="0" xfId="0" applyFont="1"/>
    <xf numFmtId="0" fontId="13" fillId="5" borderId="1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topLeftCell="A2" zoomScaleNormal="100" workbookViewId="0">
      <selection activeCell="A16" sqref="A16"/>
    </sheetView>
  </sheetViews>
  <sheetFormatPr defaultColWidth="8.6640625" defaultRowHeight="14.4" x14ac:dyDescent="0.3"/>
  <cols>
    <col min="1" max="1" width="95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/>
    </row>
    <row r="4" spans="1:1" ht="15" customHeight="1" x14ac:dyDescent="0.3">
      <c r="A4" s="3"/>
    </row>
    <row r="5" spans="1:1" ht="15" customHeight="1" x14ac:dyDescent="0.3">
      <c r="A5" s="4" t="s">
        <v>1</v>
      </c>
    </row>
    <row r="6" spans="1:1" ht="15" customHeight="1" x14ac:dyDescent="0.3">
      <c r="A6" s="3" t="s">
        <v>2</v>
      </c>
    </row>
    <row r="7" spans="1:1" ht="15" customHeight="1" x14ac:dyDescent="0.3">
      <c r="A7" s="3" t="s">
        <v>3</v>
      </c>
    </row>
    <row r="8" spans="1:1" ht="15" customHeight="1" x14ac:dyDescent="0.3">
      <c r="A8" s="3" t="s">
        <v>4</v>
      </c>
    </row>
    <row r="9" spans="1:1" ht="15" customHeight="1" x14ac:dyDescent="0.3">
      <c r="A9" s="3" t="s">
        <v>5</v>
      </c>
    </row>
    <row r="10" spans="1:1" ht="15" customHeight="1" x14ac:dyDescent="0.3">
      <c r="A10" s="3" t="s">
        <v>6</v>
      </c>
    </row>
    <row r="11" spans="1:1" ht="15" customHeight="1" x14ac:dyDescent="0.3">
      <c r="A11" s="3" t="s">
        <v>7</v>
      </c>
    </row>
    <row r="12" spans="1:1" ht="15" customHeight="1" x14ac:dyDescent="0.3">
      <c r="A12" s="3"/>
    </row>
    <row r="13" spans="1:1" ht="15" customHeight="1" x14ac:dyDescent="0.3">
      <c r="A13" s="3" t="s">
        <v>8</v>
      </c>
    </row>
    <row r="14" spans="1:1" ht="15" customHeight="1" x14ac:dyDescent="0.3">
      <c r="A14" s="3" t="s">
        <v>9</v>
      </c>
    </row>
    <row r="15" spans="1:1" ht="15" customHeight="1" x14ac:dyDescent="0.3">
      <c r="A15" s="3" t="s">
        <v>70</v>
      </c>
    </row>
    <row r="16" spans="1:1" ht="15" customHeight="1" x14ac:dyDescent="0.3">
      <c r="A16" s="3" t="s">
        <v>10</v>
      </c>
    </row>
    <row r="17" spans="1:1" ht="15" customHeight="1" x14ac:dyDescent="0.3">
      <c r="A17" s="3"/>
    </row>
    <row r="18" spans="1:1" ht="15" customHeight="1" x14ac:dyDescent="0.3">
      <c r="A18" s="4" t="s">
        <v>11</v>
      </c>
    </row>
    <row r="19" spans="1:1" ht="15" customHeight="1" x14ac:dyDescent="0.3">
      <c r="A19" s="3" t="s">
        <v>12</v>
      </c>
    </row>
    <row r="20" spans="1:1" ht="15" customHeight="1" x14ac:dyDescent="0.3">
      <c r="A20" s="3" t="s">
        <v>13</v>
      </c>
    </row>
    <row r="21" spans="1:1" ht="15" customHeight="1" x14ac:dyDescent="0.3">
      <c r="A21" s="3" t="s">
        <v>14</v>
      </c>
    </row>
    <row r="22" spans="1:1" ht="15" customHeight="1" x14ac:dyDescent="0.3">
      <c r="A22" s="3" t="s">
        <v>15</v>
      </c>
    </row>
    <row r="23" spans="1:1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zoomScaleNormal="100" workbookViewId="0">
      <selection activeCell="A11" sqref="A11"/>
    </sheetView>
  </sheetViews>
  <sheetFormatPr defaultColWidth="8.6640625" defaultRowHeight="14.4" x14ac:dyDescent="0.3"/>
  <cols>
    <col min="1" max="1" width="90.44140625" bestFit="1" customWidth="1"/>
    <col min="2" max="2" width="3" customWidth="1"/>
    <col min="3" max="7" width="14" customWidth="1"/>
  </cols>
  <sheetData>
    <row r="1" spans="1:7" ht="17.25" customHeight="1" x14ac:dyDescent="0.3">
      <c r="A1" s="1" t="s">
        <v>16</v>
      </c>
    </row>
    <row r="2" spans="1:7" ht="15" customHeight="1" x14ac:dyDescent="0.3">
      <c r="A2" s="21" t="s">
        <v>72</v>
      </c>
    </row>
    <row r="4" spans="1:7" ht="15" customHeight="1" x14ac:dyDescent="0.3">
      <c r="A4" s="5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</row>
    <row r="5" spans="1:7" ht="15" customHeight="1" x14ac:dyDescent="0.3">
      <c r="A5" s="7" t="s">
        <v>23</v>
      </c>
      <c r="C5" s="8">
        <v>1652653</v>
      </c>
      <c r="D5" s="8">
        <v>1966164</v>
      </c>
      <c r="E5" s="8">
        <v>2135323</v>
      </c>
      <c r="F5" s="8">
        <v>2234266</v>
      </c>
      <c r="G5" s="8">
        <v>2422713</v>
      </c>
    </row>
    <row r="6" spans="1:7" ht="15" customHeight="1" x14ac:dyDescent="0.3">
      <c r="A6" s="9" t="s">
        <v>24</v>
      </c>
      <c r="C6" s="8">
        <v>1414277</v>
      </c>
      <c r="D6" s="8">
        <v>1706831</v>
      </c>
      <c r="E6" s="8">
        <v>1852256</v>
      </c>
      <c r="F6" s="8">
        <v>1901681</v>
      </c>
      <c r="G6" s="8">
        <v>1974939</v>
      </c>
    </row>
    <row r="7" spans="1:7" ht="15" customHeight="1" x14ac:dyDescent="0.3">
      <c r="A7" s="9" t="s">
        <v>25</v>
      </c>
      <c r="C7" s="8">
        <v>238376</v>
      </c>
      <c r="D7" s="8">
        <v>259333</v>
      </c>
      <c r="E7" s="8">
        <v>283067</v>
      </c>
      <c r="F7" s="8">
        <v>332585</v>
      </c>
      <c r="G7" s="8">
        <v>447774</v>
      </c>
    </row>
    <row r="9" spans="1:7" ht="15" customHeight="1" x14ac:dyDescent="0.3">
      <c r="A9" s="7" t="s">
        <v>26</v>
      </c>
      <c r="C9" s="10">
        <v>882956</v>
      </c>
      <c r="D9" s="8">
        <v>1175229</v>
      </c>
      <c r="E9" s="8">
        <v>1409326</v>
      </c>
      <c r="F9" s="8">
        <v>1528679</v>
      </c>
      <c r="G9" s="8">
        <v>1832661</v>
      </c>
    </row>
    <row r="11" spans="1:7" ht="15" customHeight="1" x14ac:dyDescent="0.3">
      <c r="A11" s="7" t="s">
        <v>27</v>
      </c>
      <c r="C11" s="11">
        <f>IF(C5=0,"-",C9/C5)</f>
        <v>0.53426581381572535</v>
      </c>
      <c r="D11" s="11">
        <f>IF(D5=0,"-",D9/D5)</f>
        <v>0.59772684272522536</v>
      </c>
      <c r="E11" s="11">
        <f>IF(E5=0,"-",E9/E5)</f>
        <v>0.66000600377554119</v>
      </c>
      <c r="F11" s="11">
        <f>IF(F5=0,"-",F9/F5)</f>
        <v>0.68419740532237427</v>
      </c>
      <c r="G11" s="11">
        <f>IF(G5=0,"-",G9/G5)</f>
        <v>0.75644989728457313</v>
      </c>
    </row>
    <row r="13" spans="1:7" ht="15" customHeight="1" x14ac:dyDescent="0.3">
      <c r="A13" s="7" t="s">
        <v>28</v>
      </c>
      <c r="C13" s="12" t="s">
        <v>29</v>
      </c>
      <c r="D13" s="13">
        <f>IFERROR(D11/C11-1,"-")</f>
        <v>0.11878175108428035</v>
      </c>
      <c r="E13" s="13">
        <f>IFERROR(E11/D11-1,"-")</f>
        <v>0.10419334819625203</v>
      </c>
      <c r="F13" s="13">
        <f>IFERROR(F11/E11-1,"-")</f>
        <v>3.6653305285780702E-2</v>
      </c>
      <c r="G13" s="13">
        <f>IFERROR(G11/F11-1,"-")</f>
        <v>0.10560182105361182</v>
      </c>
    </row>
    <row r="15" spans="1:7" ht="15" customHeight="1" x14ac:dyDescent="0.3">
      <c r="A15" s="7" t="s">
        <v>30</v>
      </c>
      <c r="C15" s="12" t="s">
        <v>29</v>
      </c>
      <c r="D15" s="13">
        <f>IFERROR(D9/C9-1,"-")</f>
        <v>0.33101649459316196</v>
      </c>
      <c r="E15" s="13">
        <f>IFERROR(E9/D9-1,"-")</f>
        <v>0.19919266798215496</v>
      </c>
      <c r="F15" s="13">
        <f>IFERROR(F9/E9-1,"-")</f>
        <v>8.4687999795646896E-2</v>
      </c>
      <c r="G15" s="13">
        <f>IFERROR(G9/F9-1,"-")</f>
        <v>0.19885273494304556</v>
      </c>
    </row>
    <row r="17" spans="1:7" ht="15" customHeight="1" x14ac:dyDescent="0.3">
      <c r="A17" s="7" t="s">
        <v>31</v>
      </c>
      <c r="C17" s="12" t="s">
        <v>29</v>
      </c>
      <c r="D17" s="13">
        <f>IFERROR(D5/C5-1,"-")</f>
        <v>0.18970164940855705</v>
      </c>
      <c r="E17" s="13">
        <f>IFERROR(E5/D5-1,"-")</f>
        <v>8.6035040820602982E-2</v>
      </c>
      <c r="F17" s="13">
        <f>IFERROR(F5/E5-1,"-")</f>
        <v>4.6336315395844041E-2</v>
      </c>
      <c r="G17" s="13">
        <f>IFERROR(G5/F5-1,"-")</f>
        <v>8.4344030657047986E-2</v>
      </c>
    </row>
    <row r="19" spans="1:7" ht="15" customHeight="1" x14ac:dyDescent="0.3"/>
    <row r="20" spans="1:7" ht="15" customHeight="1" x14ac:dyDescent="0.3"/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showGridLines="0" tabSelected="1" zoomScale="79" zoomScaleNormal="100" workbookViewId="0">
      <selection activeCell="A40" sqref="A35:A40"/>
    </sheetView>
  </sheetViews>
  <sheetFormatPr defaultColWidth="8.6640625" defaultRowHeight="14.4" x14ac:dyDescent="0.3"/>
  <cols>
    <col min="1" max="1" width="106.109375" bestFit="1" customWidth="1"/>
    <col min="2" max="2" width="3" customWidth="1"/>
    <col min="3" max="7" width="13" customWidth="1"/>
    <col min="8" max="8" width="2" customWidth="1"/>
    <col min="9" max="13" width="10" customWidth="1"/>
  </cols>
  <sheetData>
    <row r="1" spans="1:13" ht="17.25" customHeight="1" x14ac:dyDescent="0.3">
      <c r="A1" s="1" t="s">
        <v>32</v>
      </c>
    </row>
    <row r="2" spans="1:13" ht="15" customHeight="1" x14ac:dyDescent="0.3">
      <c r="A2" s="2"/>
    </row>
    <row r="4" spans="1:13" ht="15" customHeight="1" x14ac:dyDescent="0.3">
      <c r="A4" s="5" t="s">
        <v>33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14"/>
      <c r="I4" s="6" t="s">
        <v>18</v>
      </c>
      <c r="J4" s="6" t="s">
        <v>19</v>
      </c>
      <c r="K4" s="6" t="s">
        <v>20</v>
      </c>
      <c r="L4" s="6" t="s">
        <v>21</v>
      </c>
      <c r="M4" s="6" t="s">
        <v>22</v>
      </c>
    </row>
    <row r="5" spans="1:13" ht="15" customHeight="1" x14ac:dyDescent="0.3">
      <c r="A5" s="7" t="s">
        <v>34</v>
      </c>
      <c r="C5" s="10">
        <v>882956</v>
      </c>
      <c r="D5" s="8">
        <v>1175229</v>
      </c>
      <c r="E5" s="8">
        <v>1409326</v>
      </c>
      <c r="F5" s="8">
        <v>1528679</v>
      </c>
      <c r="G5" s="8">
        <v>1832661</v>
      </c>
      <c r="I5" s="15">
        <f>IFERROR(C5/C$5,"-")</f>
        <v>1</v>
      </c>
      <c r="J5" s="15">
        <f>IFERROR(D5/D$5,"-")</f>
        <v>1</v>
      </c>
      <c r="K5" s="15">
        <f>IFERROR(E5/E$5,"-")</f>
        <v>1</v>
      </c>
      <c r="L5" s="15">
        <f>IFERROR(F5/F$5,"-")</f>
        <v>1</v>
      </c>
      <c r="M5" s="15">
        <f>IFERROR(G5/G$5,"-")</f>
        <v>1</v>
      </c>
    </row>
    <row r="6" spans="1:13" ht="15" customHeight="1" x14ac:dyDescent="0.3">
      <c r="A6" s="9" t="s">
        <v>35</v>
      </c>
      <c r="C6" s="10">
        <v>17935</v>
      </c>
      <c r="D6" s="8">
        <v>21613</v>
      </c>
      <c r="E6" s="8">
        <v>38548</v>
      </c>
      <c r="F6" s="8">
        <v>50647</v>
      </c>
      <c r="G6" s="8">
        <v>43919</v>
      </c>
    </row>
    <row r="7" spans="1:13" ht="15" customHeight="1" x14ac:dyDescent="0.3">
      <c r="A7" s="7" t="s">
        <v>36</v>
      </c>
      <c r="C7" s="16">
        <f>C5+C6</f>
        <v>900891</v>
      </c>
      <c r="D7" s="16">
        <f>D5+D6</f>
        <v>1196842</v>
      </c>
      <c r="E7" s="16">
        <f>E5+E6</f>
        <v>1447874</v>
      </c>
      <c r="F7" s="16">
        <f>F5+F6</f>
        <v>1579326</v>
      </c>
      <c r="G7" s="16">
        <f>G5+G6</f>
        <v>1876580</v>
      </c>
    </row>
    <row r="9" spans="1:13" ht="15" customHeight="1" x14ac:dyDescent="0.3">
      <c r="A9" s="7" t="s">
        <v>37</v>
      </c>
    </row>
    <row r="10" spans="1:13" ht="15" customHeight="1" x14ac:dyDescent="0.3">
      <c r="A10" s="9" t="s">
        <v>38</v>
      </c>
      <c r="C10" s="8">
        <v>397387</v>
      </c>
      <c r="D10" s="8">
        <v>466700</v>
      </c>
      <c r="E10" s="8">
        <v>459397</v>
      </c>
      <c r="F10" s="8">
        <v>873183</v>
      </c>
      <c r="G10" s="8">
        <v>1116633</v>
      </c>
    </row>
    <row r="11" spans="1:13" ht="15" customHeight="1" x14ac:dyDescent="0.3">
      <c r="A11" s="9" t="s">
        <v>39</v>
      </c>
      <c r="C11" s="10">
        <v>263905</v>
      </c>
      <c r="D11" s="10">
        <v>399772</v>
      </c>
      <c r="E11" s="10">
        <v>551099</v>
      </c>
      <c r="F11" s="10">
        <v>213927</v>
      </c>
      <c r="G11" s="10">
        <v>231741</v>
      </c>
    </row>
    <row r="12" spans="1:13" ht="15" customHeight="1" x14ac:dyDescent="0.3">
      <c r="A12" s="9" t="s">
        <v>40</v>
      </c>
      <c r="C12" s="8">
        <v>40222</v>
      </c>
      <c r="D12" s="8">
        <v>46051</v>
      </c>
      <c r="E12" s="8">
        <v>54784</v>
      </c>
      <c r="F12" s="8">
        <v>70057</v>
      </c>
      <c r="G12" s="8">
        <v>90290</v>
      </c>
    </row>
    <row r="13" spans="1:13" ht="15" customHeight="1" x14ac:dyDescent="0.3">
      <c r="A13" s="9" t="s">
        <v>41</v>
      </c>
      <c r="C13" s="8">
        <v>126794</v>
      </c>
      <c r="D13" s="8">
        <v>158039</v>
      </c>
      <c r="E13" s="8">
        <v>186352</v>
      </c>
      <c r="F13" s="8">
        <v>186043</v>
      </c>
      <c r="G13" s="8">
        <v>205091</v>
      </c>
    </row>
    <row r="14" spans="1:13" ht="15" customHeight="1" x14ac:dyDescent="0.3">
      <c r="A14" s="7" t="s">
        <v>42</v>
      </c>
      <c r="C14" s="16">
        <f>SUM(C10:C13)</f>
        <v>828308</v>
      </c>
      <c r="D14" s="16">
        <f>SUM(D10:D13)</f>
        <v>1070562</v>
      </c>
      <c r="E14" s="16">
        <f>SUM(E10:E13)</f>
        <v>1251632</v>
      </c>
      <c r="F14" s="16">
        <f>SUM(F10:F13)</f>
        <v>1343210</v>
      </c>
      <c r="G14" s="16">
        <f>SUM(G10:G13)</f>
        <v>1643755</v>
      </c>
      <c r="I14" s="15">
        <f>IFERROR(C14/C$5,"-")</f>
        <v>0.93810790118646914</v>
      </c>
      <c r="J14" s="15">
        <f>IFERROR(D14/D$5,"-")</f>
        <v>0.9109390595364818</v>
      </c>
      <c r="K14" s="15">
        <f>IFERROR(E14/E$5,"-")</f>
        <v>0.88810679714984331</v>
      </c>
      <c r="L14" s="15">
        <f>IFERROR(F14/F$5,"-")</f>
        <v>0.87867367838506316</v>
      </c>
      <c r="M14" s="15">
        <f>IFERROR(G14/G$5,"-")</f>
        <v>0.89692256232876677</v>
      </c>
    </row>
    <row r="16" spans="1:13" ht="15" customHeight="1" x14ac:dyDescent="0.3">
      <c r="A16" s="7" t="s">
        <v>43</v>
      </c>
      <c r="C16" s="16">
        <f>C5-C14</f>
        <v>54648</v>
      </c>
      <c r="D16" s="16">
        <f>D5-D14</f>
        <v>104667</v>
      </c>
      <c r="E16" s="16">
        <f>E5-E14</f>
        <v>157694</v>
      </c>
      <c r="F16" s="16">
        <f>F5-F14</f>
        <v>185469</v>
      </c>
      <c r="G16" s="16">
        <f>G5-G14</f>
        <v>188906</v>
      </c>
      <c r="I16" s="15">
        <f>IFERROR(C16/C$5,"-")</f>
        <v>6.1892098813530909E-2</v>
      </c>
      <c r="J16" s="15">
        <f>IFERROR(D16/D$5,"-")</f>
        <v>8.9060940463518173E-2</v>
      </c>
      <c r="K16" s="15">
        <f>IFERROR(E16/E$5,"-")</f>
        <v>0.11189320285015675</v>
      </c>
      <c r="L16" s="15">
        <f>IFERROR(F16/F$5,"-")</f>
        <v>0.12132632161493682</v>
      </c>
      <c r="M16" s="15">
        <f>IFERROR(G16/G$5,"-")</f>
        <v>0.10307743767123324</v>
      </c>
    </row>
    <row r="18" spans="1:13" ht="15" customHeight="1" x14ac:dyDescent="0.3">
      <c r="A18" s="9" t="s">
        <v>44</v>
      </c>
      <c r="C18" s="8">
        <v>27865</v>
      </c>
      <c r="D18" s="8">
        <v>28233</v>
      </c>
      <c r="E18" s="8">
        <v>30223</v>
      </c>
      <c r="F18" s="8">
        <v>56070</v>
      </c>
      <c r="G18" s="8">
        <v>67405</v>
      </c>
      <c r="I18" s="15">
        <f>IFERROR(C18/C$5,"-")</f>
        <v>3.1558763970118558E-2</v>
      </c>
      <c r="J18" s="15">
        <f>IFERROR(D18/D$5,"-")</f>
        <v>2.4023403098459961E-2</v>
      </c>
      <c r="K18" s="15">
        <f>IFERROR(E18/E$5,"-")</f>
        <v>2.1445002788567018E-2</v>
      </c>
      <c r="L18" s="15">
        <f>IFERROR(F18/F$5,"-")</f>
        <v>3.667872718863803E-2</v>
      </c>
      <c r="M18" s="15">
        <f>IFERROR(G18/G$5,"-")</f>
        <v>3.677985181110964E-2</v>
      </c>
    </row>
    <row r="19" spans="1:13" ht="15" customHeight="1" x14ac:dyDescent="0.3">
      <c r="A19" s="9" t="s">
        <v>45</v>
      </c>
      <c r="C19" s="8">
        <v>1259</v>
      </c>
      <c r="D19" s="8">
        <v>1866</v>
      </c>
      <c r="E19" s="8">
        <v>1932</v>
      </c>
      <c r="F19" s="8">
        <v>1942</v>
      </c>
      <c r="G19" s="8">
        <v>2387</v>
      </c>
    </row>
    <row r="21" spans="1:13" ht="15" customHeight="1" x14ac:dyDescent="0.3">
      <c r="A21" s="7" t="s">
        <v>46</v>
      </c>
      <c r="C21" s="16">
        <f>C16-C18-C19</f>
        <v>25524</v>
      </c>
      <c r="D21" s="16">
        <f>D16-D18-D19</f>
        <v>74568</v>
      </c>
      <c r="E21" s="16">
        <f>E16-E18-E19</f>
        <v>125539</v>
      </c>
      <c r="F21" s="16">
        <f>F16-F18-F19</f>
        <v>127457</v>
      </c>
      <c r="G21" s="16">
        <f>G16-G18-G19</f>
        <v>119114</v>
      </c>
      <c r="I21" s="15">
        <f>IFERROR(C21/C$5,"-")</f>
        <v>2.8907442726477876E-2</v>
      </c>
      <c r="J21" s="15">
        <f>IFERROR(D21/D$5,"-")</f>
        <v>6.3449761706016447E-2</v>
      </c>
      <c r="K21" s="15">
        <f>IFERROR(E21/E$5,"-")</f>
        <v>8.9077332001254506E-2</v>
      </c>
      <c r="L21" s="15">
        <f>IFERROR(F21/F$5,"-")</f>
        <v>8.3377216537938961E-2</v>
      </c>
      <c r="M21" s="15">
        <f>IFERROR(G21/G$5,"-")</f>
        <v>6.4995108206045746E-2</v>
      </c>
    </row>
    <row r="23" spans="1:13" ht="15" customHeight="1" x14ac:dyDescent="0.3">
      <c r="A23" s="7" t="s">
        <v>47</v>
      </c>
      <c r="C23" s="16">
        <f>C21+C6</f>
        <v>43459</v>
      </c>
      <c r="D23" s="16">
        <f>D21+D6</f>
        <v>96181</v>
      </c>
      <c r="E23" s="16">
        <f>E21+E6</f>
        <v>164087</v>
      </c>
      <c r="F23" s="16">
        <f>F21+F6</f>
        <v>178104</v>
      </c>
      <c r="G23" s="16">
        <f>G21+G6</f>
        <v>163033</v>
      </c>
      <c r="I23" s="15">
        <f>IFERROR(C23/C$5,"-")</f>
        <v>4.9219893177009956E-2</v>
      </c>
      <c r="J23" s="15">
        <f>IFERROR(D23/D$5,"-")</f>
        <v>8.1840220076257478E-2</v>
      </c>
      <c r="K23" s="15">
        <f>IFERROR(E23/E$5,"-")</f>
        <v>0.11642941377651445</v>
      </c>
      <c r="L23" s="15">
        <f>IFERROR(F23/F$5,"-")</f>
        <v>0.11650843636891721</v>
      </c>
      <c r="M23" s="15">
        <f>IFERROR(G23/G$5,"-")</f>
        <v>8.8959714862705111E-2</v>
      </c>
    </row>
    <row r="25" spans="1:13" ht="15" customHeight="1" x14ac:dyDescent="0.3">
      <c r="A25" s="9" t="s">
        <v>48</v>
      </c>
      <c r="C25" s="10">
        <v>8160</v>
      </c>
      <c r="D25" s="8">
        <v>21099</v>
      </c>
      <c r="E25" s="8">
        <v>38310</v>
      </c>
      <c r="F25" s="8">
        <v>51151</v>
      </c>
      <c r="G25" s="8">
        <v>44175</v>
      </c>
    </row>
    <row r="27" spans="1:13" ht="15" customHeight="1" x14ac:dyDescent="0.3">
      <c r="A27" s="7" t="s">
        <v>49</v>
      </c>
      <c r="C27" s="16">
        <f>C23-C25</f>
        <v>35299</v>
      </c>
      <c r="D27" s="16">
        <f>D23-D25</f>
        <v>75082</v>
      </c>
      <c r="E27" s="16">
        <f>E23-E25</f>
        <v>125777</v>
      </c>
      <c r="F27" s="16">
        <f>F23-F25</f>
        <v>126953</v>
      </c>
      <c r="G27" s="16">
        <f>G23-G25</f>
        <v>118858</v>
      </c>
      <c r="I27" s="15">
        <f>IFERROR(C27/C$5,"-")</f>
        <v>3.9978209559706261E-2</v>
      </c>
      <c r="J27" s="15">
        <f>IFERROR(D27/D$5,"-")</f>
        <v>6.3887123275548852E-2</v>
      </c>
      <c r="K27" s="15">
        <f>IFERROR(E27/E$5,"-")</f>
        <v>8.9246207052165363E-2</v>
      </c>
      <c r="L27" s="15">
        <f>IFERROR(F27/F$5,"-")</f>
        <v>8.3047520113771436E-2</v>
      </c>
      <c r="M27" s="15">
        <f>IFERROR(G27/G$5,"-")</f>
        <v>6.4855420615160142E-2</v>
      </c>
    </row>
    <row r="30" spans="1:13" ht="15" customHeight="1" x14ac:dyDescent="0.3">
      <c r="A30" s="17" t="s">
        <v>50</v>
      </c>
      <c r="C30" s="17"/>
      <c r="D30" s="17"/>
      <c r="E30" s="17"/>
      <c r="F30" s="17"/>
      <c r="G30" s="17"/>
    </row>
    <row r="31" spans="1:13" ht="15" customHeight="1" x14ac:dyDescent="0.3">
      <c r="A31" s="9" t="s">
        <v>51</v>
      </c>
      <c r="C31" s="12" t="s">
        <v>29</v>
      </c>
      <c r="D31" s="13">
        <f>IFERROR(D5/C5-1,"-")</f>
        <v>0.33101649459316196</v>
      </c>
      <c r="E31" s="13">
        <f>IFERROR(E5/D5-1,"-")</f>
        <v>0.19919266798215496</v>
      </c>
      <c r="F31" s="13">
        <f>IFERROR(F5/E5-1,"-")</f>
        <v>8.4687999795646896E-2</v>
      </c>
      <c r="G31" s="13">
        <f>IFERROR(G5/F5-1,"-")</f>
        <v>0.19885273494304556</v>
      </c>
    </row>
    <row r="32" spans="1:13" ht="15" customHeight="1" x14ac:dyDescent="0.3">
      <c r="A32" s="9" t="s">
        <v>52</v>
      </c>
      <c r="C32" s="12" t="s">
        <v>29</v>
      </c>
      <c r="D32" s="13">
        <f>IFERROR(D16/C16-1,"-")</f>
        <v>0.91529424681598592</v>
      </c>
      <c r="E32" s="13">
        <f>IFERROR(E16/D16-1,"-")</f>
        <v>0.50662577507714945</v>
      </c>
      <c r="F32" s="13">
        <f>IFERROR(F16/E16-1,"-")</f>
        <v>0.17613225614164141</v>
      </c>
      <c r="G32" s="13">
        <f>IFERROR(G16/F16-1,"-")</f>
        <v>1.8531398778232511E-2</v>
      </c>
    </row>
    <row r="33" spans="1:7" ht="15" customHeight="1" x14ac:dyDescent="0.3">
      <c r="A33" s="9" t="s">
        <v>53</v>
      </c>
      <c r="C33" s="12" t="s">
        <v>29</v>
      </c>
      <c r="D33" s="13">
        <f>IFERROR(D27/C27-1,"-")</f>
        <v>1.1270290943086207</v>
      </c>
      <c r="E33" s="13">
        <f>IFERROR(E27/D27-1,"-")</f>
        <v>0.67519512000213111</v>
      </c>
      <c r="F33" s="13">
        <f>IFERROR(F27/E27-1,"-")</f>
        <v>9.3498811388410541E-3</v>
      </c>
      <c r="G33" s="13">
        <f>IFERROR(G27/F27-1,"-")</f>
        <v>-6.3763755090466501E-2</v>
      </c>
    </row>
    <row r="35" spans="1:7" ht="15" customHeight="1" x14ac:dyDescent="0.3">
      <c r="A35" s="18"/>
    </row>
    <row r="36" spans="1:7" ht="15" customHeight="1" x14ac:dyDescent="0.3">
      <c r="A36" s="18"/>
    </row>
    <row r="37" spans="1:7" x14ac:dyDescent="0.3">
      <c r="A37" s="18"/>
    </row>
    <row r="38" spans="1:7" ht="15" customHeight="1" x14ac:dyDescent="0.3">
      <c r="A38" s="18"/>
    </row>
    <row r="39" spans="1:7" ht="15" customHeight="1" x14ac:dyDescent="0.3">
      <c r="A39" s="18"/>
    </row>
    <row r="40" spans="1:7" ht="15" customHeight="1" x14ac:dyDescent="0.3">
      <c r="A40" s="18"/>
    </row>
    <row r="41" spans="1:7" ht="15" customHeight="1" x14ac:dyDescent="0.3">
      <c r="A41" s="18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zoomScale="66" zoomScaleNormal="100" workbookViewId="0">
      <selection activeCell="A16" sqref="A16"/>
    </sheetView>
  </sheetViews>
  <sheetFormatPr defaultColWidth="8.6640625" defaultRowHeight="14.4" x14ac:dyDescent="0.3"/>
  <cols>
    <col min="1" max="1" width="78.77734375" bestFit="1" customWidth="1"/>
    <col min="2" max="2" width="134.5546875" customWidth="1"/>
    <col min="3" max="3" width="30" customWidth="1"/>
  </cols>
  <sheetData>
    <row r="1" spans="1:2" ht="17.25" customHeight="1" x14ac:dyDescent="0.3">
      <c r="A1" s="1" t="s">
        <v>54</v>
      </c>
    </row>
    <row r="2" spans="1:2" ht="15" customHeight="1" x14ac:dyDescent="0.3"/>
    <row r="4" spans="1:2" ht="15" customHeight="1" x14ac:dyDescent="0.3">
      <c r="A4" s="5" t="s">
        <v>17</v>
      </c>
      <c r="B4" s="5" t="s">
        <v>55</v>
      </c>
    </row>
    <row r="5" spans="1:2" ht="15" customHeight="1" x14ac:dyDescent="0.3">
      <c r="A5" s="9" t="s">
        <v>56</v>
      </c>
      <c r="B5" s="9" t="s">
        <v>57</v>
      </c>
    </row>
    <row r="6" spans="1:2" ht="15" customHeight="1" x14ac:dyDescent="0.3">
      <c r="A6" s="9" t="s">
        <v>58</v>
      </c>
      <c r="B6" s="9" t="s">
        <v>59</v>
      </c>
    </row>
    <row r="7" spans="1:2" ht="15" customHeight="1" x14ac:dyDescent="0.3">
      <c r="A7" s="9" t="s">
        <v>60</v>
      </c>
      <c r="B7" s="9" t="s">
        <v>61</v>
      </c>
    </row>
    <row r="8" spans="1:2" ht="15" customHeight="1" x14ac:dyDescent="0.3">
      <c r="A8" s="9" t="s">
        <v>62</v>
      </c>
      <c r="B8" s="9" t="s">
        <v>63</v>
      </c>
    </row>
    <row r="11" spans="1:2" ht="15" customHeight="1" x14ac:dyDescent="0.3">
      <c r="A11" s="4" t="s">
        <v>71</v>
      </c>
    </row>
    <row r="12" spans="1:2" ht="39.6" x14ac:dyDescent="0.3">
      <c r="A12" s="20" t="s">
        <v>64</v>
      </c>
      <c r="B12" s="19" t="s">
        <v>65</v>
      </c>
    </row>
    <row r="14" spans="1:2" ht="139.5" customHeight="1" x14ac:dyDescent="0.3">
      <c r="A14" s="20" t="s">
        <v>66</v>
      </c>
      <c r="B14" s="19" t="s">
        <v>67</v>
      </c>
    </row>
    <row r="16" spans="1:2" ht="66" x14ac:dyDescent="0.3">
      <c r="A16" s="20" t="s">
        <v>68</v>
      </c>
      <c r="B16" s="19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00_Legend</vt:lpstr>
      <vt:lpstr>01_Volume_ASP</vt:lpstr>
      <vt:lpstr>02_Margin_Waterfall</vt:lpstr>
      <vt:lpstr>03_Notes_Sources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Hriday Kaul</cp:lastModifiedBy>
  <cp:revision>0</cp:revision>
  <dcterms:created xsi:type="dcterms:W3CDTF">2026-08-25T16:19:01Z</dcterms:created>
  <dcterms:modified xsi:type="dcterms:W3CDTF">2026-08-27T14:32:32Z</dcterms:modified>
  <dc:language>en-US</dc:language>
</cp:coreProperties>
</file>