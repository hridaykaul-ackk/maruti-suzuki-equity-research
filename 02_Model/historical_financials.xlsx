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rida\Downloads\"/>
    </mc:Choice>
  </mc:AlternateContent>
  <xr:revisionPtr revIDLastSave="0" documentId="13_ncr:1_{8C800733-1896-42DF-8B44-6B353CEA1CD4}" xr6:coauthVersionLast="47" xr6:coauthVersionMax="47" xr10:uidLastSave="{00000000-0000-0000-0000-000000000000}"/>
  <bookViews>
    <workbookView xWindow="-108" yWindow="-108" windowWidth="23256" windowHeight="12456" xr2:uid="{D3A81213-D39A-4D9A-969F-9FADD15AF2DD}"/>
  </bookViews>
  <sheets>
    <sheet name="Historical financials" sheetId="1" r:id="rId1"/>
  </sheets>
  <definedNames>
    <definedName name="_xlnm.Print_Area" localSheetId="0">'Historical financials'!$A$1:$G$31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1" l="1"/>
  <c r="F24" i="1"/>
  <c r="E24" i="1"/>
  <c r="D24" i="1"/>
  <c r="G19" i="1"/>
  <c r="F17" i="1"/>
  <c r="G17" i="1" s="1"/>
  <c r="E17" i="1"/>
  <c r="D17" i="1"/>
  <c r="C17" i="1"/>
  <c r="B17" i="1"/>
  <c r="B18" i="1" s="1"/>
  <c r="B20" i="1" s="1"/>
  <c r="G16" i="1"/>
  <c r="G15" i="1"/>
  <c r="G14" i="1"/>
  <c r="G13" i="1"/>
  <c r="G12" i="1"/>
  <c r="G11" i="1"/>
  <c r="G10" i="1"/>
  <c r="G9" i="1"/>
  <c r="F8" i="1"/>
  <c r="F18" i="1" s="1"/>
  <c r="E8" i="1"/>
  <c r="E18" i="1" s="1"/>
  <c r="E20" i="1" s="1"/>
  <c r="E25" i="1" s="1"/>
  <c r="D8" i="1"/>
  <c r="D18" i="1" s="1"/>
  <c r="D20" i="1" s="1"/>
  <c r="C8" i="1"/>
  <c r="C18" i="1" s="1"/>
  <c r="C20" i="1" s="1"/>
  <c r="C25" i="1" s="1"/>
  <c r="B8" i="1"/>
  <c r="G7" i="1"/>
  <c r="G6" i="1"/>
  <c r="D25" i="1" l="1"/>
  <c r="G18" i="1"/>
  <c r="F20" i="1"/>
  <c r="G8" i="1"/>
  <c r="F25" i="1" l="1"/>
  <c r="G20" i="1"/>
</calcChain>
</file>

<file path=xl/sharedStrings.xml><?xml version="1.0" encoding="utf-8"?>
<sst xmlns="http://schemas.openxmlformats.org/spreadsheetml/2006/main" count="38" uniqueCount="30">
  <si>
    <t>Maruti Suzuki India Ltd — Standalone Historical Financials (₹ million)</t>
  </si>
  <si>
    <t>Legend:</t>
  </si>
  <si>
    <t>Blue = sourced from annual report</t>
  </si>
  <si>
    <t>Particulars (₹ million)</t>
  </si>
  <si>
    <t>FY22</t>
  </si>
  <si>
    <t>FY23</t>
  </si>
  <si>
    <t>FY24</t>
  </si>
  <si>
    <t>FY25</t>
  </si>
  <si>
    <t>FY26</t>
  </si>
  <si>
    <t>5-yr CAGR</t>
  </si>
  <si>
    <t>Revenue from operations</t>
  </si>
  <si>
    <t>Other income</t>
  </si>
  <si>
    <t>Total Income</t>
  </si>
  <si>
    <t>Cost of materials consumed</t>
  </si>
  <si>
    <t>Purchases of stock-in-trade</t>
  </si>
  <si>
    <t>Changes in inventories (FG/WIP/stock-in-trade)</t>
  </si>
  <si>
    <t>Employee benefits expense</t>
  </si>
  <si>
    <t>Finance costs</t>
  </si>
  <si>
    <t>Depreciation and amortisation expense</t>
  </si>
  <si>
    <t>Other expenses</t>
  </si>
  <si>
    <t>Vehicles / dies for own use</t>
  </si>
  <si>
    <t>Total Expenses</t>
  </si>
  <si>
    <t>Profit Before Tax (PBT)</t>
  </si>
  <si>
    <t>Total tax expense</t>
  </si>
  <si>
    <t>Profit After Tax (PAT)</t>
  </si>
  <si>
    <t>Year-on-Year Growth (%)</t>
  </si>
  <si>
    <t>-</t>
  </si>
  <si>
    <t>Sources (all standalone Statement of Profit and Loss, primary company disclosures):</t>
  </si>
  <si>
    <t>All 5 years sourced directly from MSIL Annual Integrated Reports (FY22-23, FY23-24, FY24-25, FY25-26).</t>
  </si>
  <si>
    <t>Black bold =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</si>
</sst>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666666"/>
      <name val="Arial"/>
      <charset val="1"/>
    </font>
    <font>
      <b/>
      <sz val="9"/>
      <name val="Arial"/>
      <charset val="1"/>
    </font>
    <font>
      <sz val="9"/>
      <color rgb="FF0000FF"/>
      <name val="Arial"/>
      <charset val="1"/>
    </font>
    <font>
      <b/>
      <sz val="9"/>
      <color rgb="FF000000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10" fillId="0" borderId="1" xfId="0" applyFont="1" applyBorder="1"/>
    <xf numFmtId="0" fontId="9" fillId="0" borderId="1" xfId="0" applyFont="1" applyBorder="1" applyAlignment="1">
      <alignment horizontal="center"/>
    </xf>
    <xf numFmtId="0" fontId="8" fillId="0" borderId="1" xfId="0" applyFont="1" applyBorder="1"/>
    <xf numFmtId="165" fontId="0" fillId="0" borderId="1" xfId="0" applyNumberFormat="1" applyBorder="1"/>
    <xf numFmtId="0" fontId="6" fillId="2" borderId="2" xfId="0" applyFont="1" applyFill="1" applyBorder="1" applyAlignment="1">
      <alignment horizontal="center" wrapText="1"/>
    </xf>
    <xf numFmtId="164" fontId="7" fillId="0" borderId="1" xfId="0" applyNumberFormat="1" applyFont="1" applyBorder="1"/>
    <xf numFmtId="165" fontId="8" fillId="0" borderId="1" xfId="0" applyNumberFormat="1" applyFont="1" applyBorder="1"/>
    <xf numFmtId="0" fontId="9" fillId="0" borderId="1" xfId="0" applyFont="1" applyBorder="1"/>
    <xf numFmtId="164" fontId="9" fillId="3" borderId="1" xfId="0" applyNumberFormat="1" applyFont="1" applyFill="1" applyBorder="1"/>
    <xf numFmtId="165" fontId="9" fillId="3" borderId="1" xfId="0" applyNumberFormat="1" applyFont="1" applyFill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showGridLines="0" tabSelected="1" workbookViewId="0">
      <selection activeCell="H6" sqref="H6"/>
    </sheetView>
  </sheetViews>
  <sheetFormatPr defaultColWidth="8.6640625" defaultRowHeight="14.4" x14ac:dyDescent="0.3"/>
  <cols>
    <col min="1" max="1" width="93.6640625" customWidth="1"/>
    <col min="2" max="2" width="25.88671875" bestFit="1" customWidth="1"/>
    <col min="3" max="3" width="9.88671875" bestFit="1" customWidth="1"/>
    <col min="4" max="7" width="12" customWidth="1"/>
  </cols>
  <sheetData>
    <row r="1" spans="1:7" ht="16.8" x14ac:dyDescent="0.3">
      <c r="A1" s="16" t="s">
        <v>0</v>
      </c>
      <c r="B1" s="16"/>
      <c r="C1" s="16"/>
      <c r="D1" s="16"/>
      <c r="E1" s="16"/>
      <c r="F1" s="16"/>
      <c r="G1" s="16"/>
    </row>
    <row r="2" spans="1:7" x14ac:dyDescent="0.3">
      <c r="A2" s="17" t="s">
        <v>28</v>
      </c>
      <c r="B2" s="17"/>
      <c r="C2" s="17"/>
      <c r="D2" s="17"/>
      <c r="E2" s="17"/>
      <c r="F2" s="17"/>
      <c r="G2" s="17"/>
    </row>
    <row r="3" spans="1:7" x14ac:dyDescent="0.3">
      <c r="A3" s="2" t="s">
        <v>1</v>
      </c>
      <c r="B3" s="3" t="s">
        <v>2</v>
      </c>
      <c r="D3" s="4" t="s">
        <v>29</v>
      </c>
    </row>
    <row r="5" spans="1:7" x14ac:dyDescent="0.3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</row>
    <row r="6" spans="1:7" x14ac:dyDescent="0.3">
      <c r="A6" s="5" t="s">
        <v>10</v>
      </c>
      <c r="B6" s="11">
        <v>882956</v>
      </c>
      <c r="C6" s="11">
        <v>1175229</v>
      </c>
      <c r="D6" s="11">
        <v>1409326</v>
      </c>
      <c r="E6" s="11">
        <v>1528679</v>
      </c>
      <c r="F6" s="11">
        <v>1832661</v>
      </c>
      <c r="G6" s="12">
        <f t="shared" ref="G6:G20" si="0">IFERROR((F6/B6)^(1/4)-1,"-")</f>
        <v>0.20028884223841348</v>
      </c>
    </row>
    <row r="7" spans="1:7" x14ac:dyDescent="0.3">
      <c r="A7" s="5" t="s">
        <v>11</v>
      </c>
      <c r="B7" s="11">
        <v>17935</v>
      </c>
      <c r="C7" s="11">
        <v>21613</v>
      </c>
      <c r="D7" s="11">
        <v>38548</v>
      </c>
      <c r="E7" s="11">
        <v>50647</v>
      </c>
      <c r="F7" s="11">
        <v>43919</v>
      </c>
      <c r="G7" s="12">
        <f t="shared" si="0"/>
        <v>0.25094370356095652</v>
      </c>
    </row>
    <row r="8" spans="1:7" x14ac:dyDescent="0.3">
      <c r="A8" s="13" t="s">
        <v>12</v>
      </c>
      <c r="B8" s="14">
        <f>B6+B7</f>
        <v>900891</v>
      </c>
      <c r="C8" s="14">
        <f>C6+C7</f>
        <v>1196842</v>
      </c>
      <c r="D8" s="14">
        <f>D6+D7</f>
        <v>1447874</v>
      </c>
      <c r="E8" s="14">
        <f>E6+E7</f>
        <v>1579326</v>
      </c>
      <c r="F8" s="14">
        <f>F6+F7</f>
        <v>1876580</v>
      </c>
      <c r="G8" s="15">
        <f t="shared" si="0"/>
        <v>0.20136149661614455</v>
      </c>
    </row>
    <row r="9" spans="1:7" x14ac:dyDescent="0.3">
      <c r="A9" s="5" t="s">
        <v>13</v>
      </c>
      <c r="B9" s="11">
        <v>397387</v>
      </c>
      <c r="C9" s="11">
        <v>466700</v>
      </c>
      <c r="D9" s="11">
        <v>459397</v>
      </c>
      <c r="E9" s="11">
        <v>873183</v>
      </c>
      <c r="F9" s="11">
        <v>1116633</v>
      </c>
      <c r="G9" s="12">
        <f t="shared" si="0"/>
        <v>0.29471506300365591</v>
      </c>
    </row>
    <row r="10" spans="1:7" x14ac:dyDescent="0.3">
      <c r="A10" s="5" t="s">
        <v>14</v>
      </c>
      <c r="B10" s="11">
        <v>263905</v>
      </c>
      <c r="C10" s="11">
        <v>399772</v>
      </c>
      <c r="D10" s="11">
        <v>551099</v>
      </c>
      <c r="E10" s="11">
        <v>213927</v>
      </c>
      <c r="F10" s="11">
        <v>231741</v>
      </c>
      <c r="G10" s="12">
        <f t="shared" si="0"/>
        <v>-3.1970004685029529E-2</v>
      </c>
    </row>
    <row r="11" spans="1:7" x14ac:dyDescent="0.3">
      <c r="A11" s="5" t="s">
        <v>15</v>
      </c>
      <c r="B11" s="11">
        <v>-919</v>
      </c>
      <c r="C11" s="11">
        <v>-4037</v>
      </c>
      <c r="D11" s="11">
        <v>-4429</v>
      </c>
      <c r="E11" s="11">
        <v>-12274</v>
      </c>
      <c r="F11" s="11">
        <v>-22709</v>
      </c>
      <c r="G11" s="12">
        <f t="shared" si="0"/>
        <v>1.2295674980013107</v>
      </c>
    </row>
    <row r="12" spans="1:7" x14ac:dyDescent="0.3">
      <c r="A12" s="5" t="s">
        <v>16</v>
      </c>
      <c r="B12" s="11">
        <v>40222</v>
      </c>
      <c r="C12" s="11">
        <v>46051</v>
      </c>
      <c r="D12" s="11">
        <v>54784</v>
      </c>
      <c r="E12" s="11">
        <v>70057</v>
      </c>
      <c r="F12" s="11">
        <v>90290</v>
      </c>
      <c r="G12" s="12">
        <f t="shared" si="0"/>
        <v>0.22403545561552196</v>
      </c>
    </row>
    <row r="13" spans="1:7" x14ac:dyDescent="0.3">
      <c r="A13" s="5" t="s">
        <v>17</v>
      </c>
      <c r="B13" s="11">
        <v>1259</v>
      </c>
      <c r="C13" s="11">
        <v>1866</v>
      </c>
      <c r="D13" s="11">
        <v>1932</v>
      </c>
      <c r="E13" s="11">
        <v>1942</v>
      </c>
      <c r="F13" s="11">
        <v>2387</v>
      </c>
      <c r="G13" s="12">
        <f t="shared" si="0"/>
        <v>0.17342860850253983</v>
      </c>
    </row>
    <row r="14" spans="1:7" x14ac:dyDescent="0.3">
      <c r="A14" s="5" t="s">
        <v>18</v>
      </c>
      <c r="B14" s="11">
        <v>27865</v>
      </c>
      <c r="C14" s="11">
        <v>28233</v>
      </c>
      <c r="D14" s="11">
        <v>30223</v>
      </c>
      <c r="E14" s="11">
        <v>56070</v>
      </c>
      <c r="F14" s="11">
        <v>67405</v>
      </c>
      <c r="G14" s="12">
        <f t="shared" si="0"/>
        <v>0.24712006423677524</v>
      </c>
    </row>
    <row r="15" spans="1:7" x14ac:dyDescent="0.3">
      <c r="A15" s="5" t="s">
        <v>19</v>
      </c>
      <c r="B15" s="11">
        <v>126794</v>
      </c>
      <c r="C15" s="11">
        <v>158039</v>
      </c>
      <c r="D15" s="11">
        <v>186352</v>
      </c>
      <c r="E15" s="11">
        <v>186043</v>
      </c>
      <c r="F15" s="11">
        <v>205091</v>
      </c>
      <c r="G15" s="12">
        <f t="shared" si="0"/>
        <v>0.12774776468466653</v>
      </c>
    </row>
    <row r="16" spans="1:7" x14ac:dyDescent="0.3">
      <c r="A16" s="5" t="s">
        <v>20</v>
      </c>
      <c r="B16" s="11">
        <v>-1445</v>
      </c>
      <c r="C16" s="11">
        <v>-1373</v>
      </c>
      <c r="D16" s="11">
        <v>-1888</v>
      </c>
      <c r="E16" s="11">
        <v>-3749</v>
      </c>
      <c r="F16" s="11">
        <v>-2887</v>
      </c>
      <c r="G16" s="12">
        <f t="shared" si="0"/>
        <v>0.18889837702984047</v>
      </c>
    </row>
    <row r="17" spans="1:7" x14ac:dyDescent="0.3">
      <c r="A17" s="13" t="s">
        <v>21</v>
      </c>
      <c r="B17" s="14">
        <f>B9+B10+B11+B12+B13+B14+B15+B16</f>
        <v>855068</v>
      </c>
      <c r="C17" s="14">
        <f>C9+C10+C11+C12+C13+C14+C15+C16</f>
        <v>1095251</v>
      </c>
      <c r="D17" s="14">
        <f>D9+D10+D11+D12+D13+D14+D15+D16</f>
        <v>1277470</v>
      </c>
      <c r="E17" s="14">
        <f>E9+E10+E11+E12+E13+E14+E15+E16</f>
        <v>1385199</v>
      </c>
      <c r="F17" s="14">
        <f>F9+F10+F11+F12+F13+F14+F15+F16</f>
        <v>1687951</v>
      </c>
      <c r="G17" s="15">
        <f t="shared" si="0"/>
        <v>0.18533141677722997</v>
      </c>
    </row>
    <row r="18" spans="1:7" x14ac:dyDescent="0.3">
      <c r="A18" s="13" t="s">
        <v>22</v>
      </c>
      <c r="B18" s="14">
        <f>B8-B17</f>
        <v>45823</v>
      </c>
      <c r="C18" s="14">
        <f>C8-C17</f>
        <v>101591</v>
      </c>
      <c r="D18" s="14">
        <f>D8-D17</f>
        <v>170404</v>
      </c>
      <c r="E18" s="14">
        <f>E8-E17</f>
        <v>194127</v>
      </c>
      <c r="F18" s="14">
        <f>F8-F17</f>
        <v>188629</v>
      </c>
      <c r="G18" s="15">
        <f t="shared" si="0"/>
        <v>0.42439760871914922</v>
      </c>
    </row>
    <row r="19" spans="1:7" x14ac:dyDescent="0.3">
      <c r="A19" s="5" t="s">
        <v>23</v>
      </c>
      <c r="B19" s="11">
        <v>8160</v>
      </c>
      <c r="C19" s="11">
        <v>21099</v>
      </c>
      <c r="D19" s="11">
        <v>38310</v>
      </c>
      <c r="E19" s="11">
        <v>51151</v>
      </c>
      <c r="F19" s="11">
        <v>44175</v>
      </c>
      <c r="G19" s="12">
        <f t="shared" si="0"/>
        <v>0.52535735279093965</v>
      </c>
    </row>
    <row r="20" spans="1:7" x14ac:dyDescent="0.3">
      <c r="A20" s="13" t="s">
        <v>24</v>
      </c>
      <c r="B20" s="14">
        <f>B18-B19</f>
        <v>37663</v>
      </c>
      <c r="C20" s="14">
        <f>C18-C19</f>
        <v>80492</v>
      </c>
      <c r="D20" s="14">
        <f>D18-D19</f>
        <v>132094</v>
      </c>
      <c r="E20" s="14">
        <f>E18-E19</f>
        <v>142976</v>
      </c>
      <c r="F20" s="14">
        <f>F18-F19</f>
        <v>144454</v>
      </c>
      <c r="G20" s="15">
        <f t="shared" si="0"/>
        <v>0.3994380097174477</v>
      </c>
    </row>
    <row r="21" spans="1:7" x14ac:dyDescent="0.3">
      <c r="A21" s="5"/>
      <c r="B21" s="5"/>
      <c r="C21" s="5"/>
      <c r="D21" s="5"/>
      <c r="E21" s="5"/>
      <c r="F21" s="5"/>
      <c r="G21" s="5"/>
    </row>
    <row r="22" spans="1:7" x14ac:dyDescent="0.3">
      <c r="A22" s="5"/>
      <c r="B22" s="5"/>
      <c r="C22" s="5"/>
      <c r="D22" s="5"/>
      <c r="E22" s="5"/>
      <c r="F22" s="5"/>
      <c r="G22" s="5"/>
    </row>
    <row r="23" spans="1:7" x14ac:dyDescent="0.3">
      <c r="A23" s="6" t="s">
        <v>25</v>
      </c>
      <c r="B23" s="7" t="s">
        <v>4</v>
      </c>
      <c r="C23" s="7" t="s">
        <v>5</v>
      </c>
      <c r="D23" s="7" t="s">
        <v>6</v>
      </c>
      <c r="E23" s="7" t="s">
        <v>7</v>
      </c>
      <c r="F23" s="7" t="s">
        <v>8</v>
      </c>
      <c r="G23" s="5"/>
    </row>
    <row r="24" spans="1:7" x14ac:dyDescent="0.3">
      <c r="A24" s="8" t="s">
        <v>10</v>
      </c>
      <c r="B24" s="5" t="s">
        <v>26</v>
      </c>
      <c r="C24" s="9">
        <f>(C6-B6)/B6</f>
        <v>0.33101649459316207</v>
      </c>
      <c r="D24" s="9">
        <f>(D6-C6)/C6</f>
        <v>0.19919266798215496</v>
      </c>
      <c r="E24" s="9">
        <f>(E6-D6)/D6</f>
        <v>8.4687999795646993E-2</v>
      </c>
      <c r="F24" s="9">
        <f>(F6-E6)/E6</f>
        <v>0.19885273494304559</v>
      </c>
      <c r="G24" s="5"/>
    </row>
    <row r="25" spans="1:7" x14ac:dyDescent="0.3">
      <c r="A25" s="8" t="s">
        <v>24</v>
      </c>
      <c r="B25" s="5" t="s">
        <v>26</v>
      </c>
      <c r="C25" s="9">
        <f>(C20-B20)/B20</f>
        <v>1.1371637947056794</v>
      </c>
      <c r="D25" s="9">
        <f>(D20-C20)/C20</f>
        <v>0.64108234358694027</v>
      </c>
      <c r="E25" s="9">
        <f>(E20-D20)/D20</f>
        <v>8.2380728874892117E-2</v>
      </c>
      <c r="F25" s="9">
        <f>(F20-E20)/E20</f>
        <v>1.0337399283795881E-2</v>
      </c>
      <c r="G25" s="5"/>
    </row>
    <row r="27" spans="1:7" x14ac:dyDescent="0.3">
      <c r="A27" s="1" t="s">
        <v>27</v>
      </c>
    </row>
    <row r="28" spans="1:7" x14ac:dyDescent="0.3">
      <c r="A28" s="1"/>
    </row>
    <row r="29" spans="1:7" x14ac:dyDescent="0.3">
      <c r="A29" s="1"/>
    </row>
    <row r="30" spans="1:7" x14ac:dyDescent="0.3">
      <c r="A30" s="1"/>
    </row>
  </sheetData>
  <mergeCells count="2">
    <mergeCell ref="A1:G1"/>
    <mergeCell ref="A2:G2"/>
  </mergeCells>
  <pageMargins left="0.75" right="0.75" top="1" bottom="1" header="0.511811023622047" footer="0.511811023622047"/>
  <pageSetup paperSize="9" scale="4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Historical financials</vt:lpstr>
      <vt:lpstr>'Historical financials'!Print_Area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Hriday Kaul</cp:lastModifiedBy>
  <cp:revision>0</cp:revision>
  <dcterms:created xsi:type="dcterms:W3CDTF">2026-08-25T14:38:49Z</dcterms:created>
  <dcterms:modified xsi:type="dcterms:W3CDTF">2026-08-26T17:13:39Z</dcterms:modified>
  <dc:language>en-US</dc:language>
</cp:coreProperties>
</file>